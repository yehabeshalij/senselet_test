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589" firstSheet="0" activeTab="0" autoFilterDateGrouping="1"/>
  </bookViews>
  <sheets>
    <sheet name="ካሶኒ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[$ብር-45E]* #,##0.00_-;\-[$ብር-45E]* #,##0.00_-;_-[$ብር-45E]* &quot;-&quot;??_-;_-@_-"/>
    <numFmt numFmtId="165" formatCode="_-[$ብር-45E]* #,##0.0_-;\-[$ብር-45E]* #,##0.0_-;_-[$ብር-45E]* &quot;-&quot;?_-;_-@_-"/>
  </numFmts>
  <fonts count="37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7"/>
      <u val="single"/>
      <scheme val="minor"/>
    </font>
    <font>
      <name val="Calibri"/>
      <family val="2"/>
      <b val="1"/>
      <color rgb="FF0070C0"/>
      <sz val="12"/>
      <u val="single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9"/>
      <scheme val="minor"/>
    </font>
    <font>
      <name val="Calibri"/>
      <family val="2"/>
      <color theme="0"/>
      <sz val="10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sz val="8"/>
      <scheme val="minor"/>
    </font>
    <font>
      <name val="Calibri"/>
      <charset val="134"/>
      <family val="2"/>
      <color theme="0"/>
      <sz val="10"/>
      <scheme val="minor"/>
    </font>
    <font>
      <name val="Calibri"/>
      <charset val="134"/>
      <family val="2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Times New Roman"/>
      <charset val="134"/>
      <family val="1"/>
      <color theme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Times New Roman"/>
      <family val="1"/>
      <color theme="0"/>
      <sz val="11"/>
    </font>
    <font>
      <name val="Calibri"/>
      <family val="2"/>
      <b val="1"/>
      <color theme="9" tint="-0.249977111117893"/>
      <sz val="12"/>
      <u val="single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7"/>
      <u val="single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2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/>
    </xf>
    <xf numFmtId="0" fontId="12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top" wrapText="1"/>
    </xf>
    <xf numFmtId="0" fontId="13" fillId="3" borderId="0" applyAlignment="1" pivotButton="0" quotePrefix="0" xfId="0">
      <alignment horizontal="center" wrapText="1"/>
    </xf>
    <xf numFmtId="0" fontId="15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right" vertical="center"/>
    </xf>
    <xf numFmtId="164" fontId="15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4" fontId="20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left" vertical="center"/>
    </xf>
    <xf numFmtId="164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top" wrapText="1"/>
    </xf>
    <xf numFmtId="0" fontId="23" fillId="3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wrapText="1"/>
    </xf>
    <xf numFmtId="0" fontId="27" fillId="2" borderId="0" applyAlignment="1" pivotButton="0" quotePrefix="0" xfId="0">
      <alignment vertical="center"/>
    </xf>
    <xf numFmtId="164" fontId="28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0" pivotButton="0" quotePrefix="0" xfId="0"/>
    <xf numFmtId="0" fontId="6" fillId="2" borderId="0" applyAlignment="1" pivotButton="0" quotePrefix="0" xfId="0">
      <alignment vertical="top"/>
    </xf>
    <xf numFmtId="0" fontId="21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0" fillId="0" borderId="0" applyAlignment="1" pivotButton="0" quotePrefix="0" xfId="0">
      <alignment vertical="top"/>
    </xf>
    <xf numFmtId="0" fontId="31" fillId="0" borderId="0" applyAlignment="1" pivotButton="0" quotePrefix="0" xfId="0">
      <alignment vertical="top"/>
    </xf>
    <xf numFmtId="0" fontId="26" fillId="2" borderId="0" applyAlignment="1" pivotButton="0" quotePrefix="0" xfId="0">
      <alignment horizontal="right" vertical="center" wrapText="1"/>
    </xf>
    <xf numFmtId="164" fontId="16" fillId="2" borderId="0" applyAlignment="1" pivotButton="0" quotePrefix="0" xfId="0">
      <alignment vertical="center"/>
    </xf>
    <xf numFmtId="0" fontId="3" fillId="0" borderId="0" pivotButton="0" quotePrefix="0" xfId="0"/>
    <xf numFmtId="0" fontId="2" fillId="2" borderId="0" pivotButton="0" quotePrefix="0" xfId="0"/>
    <xf numFmtId="164" fontId="33" fillId="2" borderId="0" applyAlignment="1" pivotButton="0" quotePrefix="0" xfId="0">
      <alignment vertical="center"/>
    </xf>
    <xf numFmtId="0" fontId="34" fillId="0" borderId="0" applyAlignment="1" pivotButton="0" quotePrefix="0" xfId="0">
      <alignment vertical="top"/>
    </xf>
    <xf numFmtId="0" fontId="14" fillId="0" borderId="0" pivotButton="0" quotePrefix="0" xfId="0"/>
    <xf numFmtId="0" fontId="3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right" vertical="top" wrapText="1"/>
    </xf>
    <xf numFmtId="165" fontId="15" fillId="2" borderId="0" applyAlignment="1" pivotButton="0" quotePrefix="0" xfId="0">
      <alignment vertical="center"/>
    </xf>
    <xf numFmtId="165" fontId="15" fillId="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center"/>
    </xf>
    <xf numFmtId="0" fontId="21" fillId="0" borderId="0" pivotButton="0" quotePrefix="0" xfId="0"/>
    <xf numFmtId="0" fontId="2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/>
    </xf>
    <xf numFmtId="0" fontId="1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5" fillId="6" borderId="0" applyAlignment="1" pivotButton="0" quotePrefix="0" xfId="0">
      <alignment horizontal="right" vertical="center" wrapText="1"/>
    </xf>
    <xf numFmtId="0" fontId="15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right" vertical="center"/>
    </xf>
    <xf numFmtId="0" fontId="15" fillId="6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center" vertical="center"/>
    </xf>
    <xf numFmtId="0" fontId="1" fillId="0" borderId="0" pivotButton="0" quotePrefix="0" xfId="0"/>
    <xf numFmtId="14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48"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164" formatCode="_-[$ብር-45E]* #,##0.00_-;\-[$ብር-45E]* #,##0.00_-;_-[$ብር-45E]* &quot;-&quot;??_-;_-@_-"/>
      <alignment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164" formatCode="_-[$ብር-45E]* #,##0.00_-;\-[$ብር-45E]* #,##0.00_-;_-[$ብር-45E]* &quot;-&quot;??_-;_-@_-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numFmt numFmtId="0" formatCode="General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Times New Roman"/>
        <family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charset val="134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numFmt numFmtId="0" formatCode="General"/>
      <fill>
        <patternFill patternType="solid">
          <bgColor theme="0"/>
        </patternFill>
      </fill>
      <alignment horizontal="righ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top"/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alignment horizontal="left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right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bottom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general" vertical="center"/>
    </dxf>
    <dxf>
      <font>
        <name val="Times New Roman"/>
        <strike val="0"/>
        <outline val="0"/>
        <shadow val="0"/>
        <color theme="1"/>
        <sz val="11"/>
        <vertAlign val="baseline"/>
      </font>
      <alignment horizontal="right" vertical="center"/>
    </dxf>
    <dxf>
      <font>
        <strike val="0"/>
        <outline val="0"/>
        <shadow val="0"/>
        <color theme="1"/>
        <sz val="11"/>
        <vertAlign val="baseline"/>
      </font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7:M101" headerRowCount="1" totalsRowCount="1" dataDxfId="26">
  <tableColumns count="13">
    <tableColumn id="1" name="ተ.ቁ No" dataDxfId="25" totalsRowDxfId="24"/>
    <tableColumn id="2" name="የእቃ ባለቤት ስም Owner of the item name" totalsRowLabel="                                    Total                                                                                               " dataDxfId="23" totalsRowDxfId="22"/>
    <tableColumn id="3" name="አድራሻ/ስልክ Address / Phone" dataDxfId="21" totalsRowDxfId="20"/>
    <tableColumn id="4" name="የእቃ አይነት እና ዝርዝር Item type and description" dataDxfId="19" totalsRowDxfId="18"/>
    <tableColumn id="5" name="የደረቅ ኪ.ግ Dry kg" totalsRowFunction="custom" dataDxfId="17" totalsRowDxfId="16">
      <totalsRowFormula>SUM(Table1[የደረቅ ኪ.ግ Dry kg])</totalsRowFormula>
    </tableColumn>
    <tableColumn id="6" name="የለጠፍ ኪ.ግ Post it kg" totalsRowFunction="custom" dataDxfId="15" totalsRowDxfId="14">
      <totalsRowFormula>SUM(Table1[የለጠፍ ኪ.ግ Post it kg])</totalsRowFormula>
    </tableColumn>
    <tableColumn id="15" name="ሴ.ሜ Cm" totalsRowFunction="custom" dataDxfId="13" totalsRowDxfId="12">
      <totalsRowFormula>SUM(Table1[ሴ.ሜ Cm])</totalsRowFormula>
    </tableColumn>
    <tableColumn id="14" name="ለመኪና" dataDxfId="11" totalsRowDxfId="10"/>
    <tableColumn id="7" name="ለጠቅላላ" totalsRowFunction="custom" dataDxfId="9" totalsRowDxfId="8">
      <totalsRowFormula>SUM(Table1[ለጠቅላላ])</totalsRowFormula>
    </tableColumn>
    <tableColumn id="8" name="የመኪና ኪራይ Car rental price" totalsRowFunction="custom" dataDxfId="7" totalsRowDxfId="6">
      <calculatedColumnFormula>Table1[[#This Row],[የደረቅ ኪ.ግ Dry kg]]*Table1[[#This Row],[ለመኪና]]</calculatedColumnFormula>
      <totalsRowFormula>SUM(Table1[የመኪና ኪራይ Car rental price])</totalsRowFormula>
    </tableColumn>
    <tableColumn id="10" name="አጠቃላይ ኪራይ General rent" totalsRowFunction="custom" dataDxfId="5" totalsRowDxfId="4">
      <calculatedColumnFormula>Table1[[#This Row],[የደረቅ ኪ.ግ Dry kg]]*Table1[[#This Row],[ለጠቅላላ]]</calculatedColumnFormula>
      <totalsRowFormula>SUM(Table1[አጠቃላይ ኪራይ General rent])</totalsRowFormula>
    </tableColumn>
    <tableColumn id="11" name="Column1" totalsRowFunction="custom" dataDxfId="3" totalsRowDxfId="2">
      <totalsRowFormula>SUM(Table1[Column1])</totalsRowFormula>
    </tableColumn>
    <tableColumn id="12" name="ተቆራጭ cut off cost" dataDxfId="1" totalsRow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tabSelected="1" view="pageLayout" zoomScaleNormal="100" workbookViewId="0">
      <selection activeCell="D10" sqref="D10"/>
    </sheetView>
  </sheetViews>
  <sheetFormatPr baseColWidth="8" defaultColWidth="9" defaultRowHeight="15"/>
  <cols>
    <col width="3.28515625" customWidth="1" style="94" min="1" max="1"/>
    <col width="13.42578125" customWidth="1" style="94" min="2" max="2"/>
    <col width="11.85546875" customWidth="1" style="94" min="3" max="3"/>
    <col width="28.5703125" customWidth="1" style="94" min="4" max="4"/>
    <col width="6.7109375" bestFit="1" customWidth="1" style="94" min="5" max="5"/>
    <col width="7" customWidth="1" style="94" min="6" max="6"/>
    <col width="5.85546875" customWidth="1" style="94" min="7" max="7"/>
    <col width="5" customWidth="1" style="72" min="8" max="8"/>
    <col width="5.42578125" customWidth="1" style="72" min="9" max="9"/>
    <col width="14.42578125" customWidth="1" style="94" min="10" max="10"/>
    <col width="14.5703125" bestFit="1" customWidth="1" style="65" min="11" max="11"/>
    <col width="13.140625" customWidth="1" style="94" min="12" max="12"/>
    <col width="13" customWidth="1" style="94" min="13" max="13"/>
  </cols>
  <sheetData>
    <row r="1" ht="15" customHeight="1" s="94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53" t="n"/>
      <c r="L1" s="7" t="n"/>
      <c r="M1" s="7" t="n"/>
    </row>
    <row r="2" ht="15" customHeight="1" s="94">
      <c r="A2" s="7" t="n"/>
      <c r="B2" s="7" t="n"/>
      <c r="C2" s="7" t="n"/>
      <c r="E2" s="7" t="n"/>
      <c r="F2" s="7" t="n"/>
      <c r="G2" s="7" t="n"/>
      <c r="H2" s="7" t="n"/>
      <c r="I2" s="7" t="n"/>
      <c r="J2" s="7" t="n"/>
      <c r="L2" s="7" t="n"/>
      <c r="M2" s="7" t="n"/>
    </row>
    <row r="3" ht="15" customHeight="1" s="94">
      <c r="A3" s="7" t="n"/>
      <c r="B3" s="7" t="n"/>
      <c r="C3" s="7" t="n"/>
      <c r="E3" s="7" t="n"/>
      <c r="F3" s="7" t="n"/>
      <c r="G3" s="7" t="n"/>
      <c r="H3" s="7" t="n"/>
      <c r="I3" s="7" t="n"/>
      <c r="J3" s="7" t="n"/>
    </row>
    <row r="4" ht="16.5" customHeight="1" s="94">
      <c r="A4" s="7" t="n"/>
      <c r="B4" s="7" t="n"/>
      <c r="C4" s="7" t="n"/>
      <c r="D4" s="8" t="inlineStr">
        <is>
          <t>መነሻ: አዲስ አባባ መርካቶ</t>
        </is>
      </c>
      <c r="E4" s="7" t="n"/>
      <c r="F4" s="7" t="n"/>
      <c r="G4" s="7" t="n"/>
      <c r="H4" s="7" t="n"/>
      <c r="I4" s="46" t="inlineStr">
        <is>
          <t>መድረሻ፡ መካነሰላም</t>
        </is>
      </c>
      <c r="J4" s="7" t="n"/>
      <c r="K4" s="53" t="n"/>
    </row>
    <row r="5" ht="15.75" customHeight="1" s="94">
      <c r="A5" s="101" t="inlineStr">
        <is>
          <t>ታርጋ ቁጥር ፡ A cassoni</t>
        </is>
      </c>
      <c r="D5" s="9" t="inlineStr">
        <is>
          <t>Origin: Addis Ababa Mercato</t>
        </is>
      </c>
      <c r="E5" s="7" t="n"/>
      <c r="F5" s="7" t="n"/>
      <c r="G5" s="7" t="n"/>
      <c r="H5" s="7" t="n"/>
      <c r="I5" s="47" t="inlineStr">
        <is>
          <t>Origin: MekaneSelam</t>
        </is>
      </c>
      <c r="J5" s="7" t="n"/>
      <c r="K5" s="53" t="n"/>
      <c r="L5" s="56" t="inlineStr">
        <is>
          <t>ቀን ፡08 /09/18</t>
        </is>
      </c>
      <c r="M5" s="57" t="inlineStr">
        <is>
          <t>አርብ</t>
        </is>
      </c>
    </row>
    <row r="6" ht="17.25" customHeight="1" s="94">
      <c r="A6" s="102" t="inlineStr">
        <is>
          <t>license plate no:</t>
        </is>
      </c>
      <c r="E6" s="7" t="n"/>
      <c r="F6" s="7" t="n"/>
      <c r="G6" s="7" t="n"/>
      <c r="H6" s="7" t="n"/>
      <c r="I6" s="7" t="n"/>
      <c r="J6" s="7" t="n"/>
      <c r="L6" s="105" t="n">
        <v>46178</v>
      </c>
      <c r="M6" s="58" t="inlineStr">
        <is>
          <t>Friday</t>
        </is>
      </c>
    </row>
    <row r="7" ht="54.75" customHeight="1" s="94">
      <c r="A7" s="10" t="inlineStr">
        <is>
          <t>ተ.ቁ No</t>
        </is>
      </c>
      <c r="B7" s="11" t="inlineStr">
        <is>
          <t>የእቃ ባለቤት ስም Owner of the item name</t>
        </is>
      </c>
      <c r="C7" s="11" t="inlineStr">
        <is>
          <t>አድራሻ/ስልክ Address / Phone</t>
        </is>
      </c>
      <c r="D7" s="12" t="inlineStr">
        <is>
          <t>የእቃ አይነት እና ዝርዝር Item type and description</t>
        </is>
      </c>
      <c r="E7" s="13" t="inlineStr">
        <is>
          <t>የደረቅ ኪ.ግ Dry kg</t>
        </is>
      </c>
      <c r="F7" s="14" t="inlineStr">
        <is>
          <t>የለጠፍ ኪ.ግ Post it kg</t>
        </is>
      </c>
      <c r="G7" s="35" t="inlineStr">
        <is>
          <t>ሴ.ሜ Cm</t>
        </is>
      </c>
      <c r="H7" s="35" t="inlineStr">
        <is>
          <t>ለመኪና</t>
        </is>
      </c>
      <c r="I7" s="36" t="inlineStr">
        <is>
          <t>ለጠቅላላ</t>
        </is>
      </c>
      <c r="J7" s="11" t="inlineStr">
        <is>
          <t>የመኪና ኪራይ Car rental price</t>
        </is>
      </c>
      <c r="K7" s="11" t="inlineStr">
        <is>
          <t>አጠቃላይ ኪራይ General rent</t>
        </is>
      </c>
      <c r="L7" s="22" t="inlineStr">
        <is>
          <t>Column1</t>
        </is>
      </c>
      <c r="M7" s="22" t="inlineStr">
        <is>
          <t>ተቆራጭ cut off cost</t>
        </is>
      </c>
    </row>
    <row r="8" customFormat="1" s="1">
      <c r="A8" s="17" t="n">
        <v>1</v>
      </c>
      <c r="B8" s="37" t="inlineStr">
        <is>
          <t>ቦጋለ አሰፋ</t>
        </is>
      </c>
      <c r="C8" s="48" t="inlineStr">
        <is>
          <t>0911223344</t>
        </is>
      </c>
      <c r="D8" s="38" t="inlineStr">
        <is>
          <t>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 ፣ 300 ወፍራም ጥላ ፣ 50 ካርቶን ጫማ</t>
        </is>
      </c>
      <c r="E8" s="17" t="n">
        <v>21130</v>
      </c>
      <c r="F8" s="17" t="n"/>
      <c r="G8" s="17" t="n"/>
      <c r="H8" s="17" t="n"/>
      <c r="I8" s="17" t="n"/>
      <c r="J8" s="18">
        <f>Table1[[#This Row],[የደረቅ ኪ.ግ Dry kg]]*Table1[[#This Row],[ለመኪና]]</f>
        <v/>
      </c>
      <c r="K8" s="18">
        <f>Table1[[#This Row],[የደረቅ ኪ.ግ Dry kg]]*Table1[[#This Row],[ለጠቅላላ]]</f>
        <v/>
      </c>
      <c r="L8" s="60" t="n"/>
      <c r="M8" s="59" t="n"/>
    </row>
    <row r="9" customFormat="1" s="2">
      <c r="A9" s="17" t="n">
        <v>2</v>
      </c>
      <c r="B9" s="37" t="inlineStr">
        <is>
          <t>አልማዝ ደምሴ</t>
        </is>
      </c>
      <c r="C9" s="20" t="inlineStr">
        <is>
          <t>0922334455</t>
        </is>
      </c>
      <c r="D9" s="38" t="inlineStr">
        <is>
          <t>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 ፣ 200 ባለ 020 ጥላ</t>
        </is>
      </c>
      <c r="E9" s="17" t="n">
        <v>11100</v>
      </c>
      <c r="F9" s="17" t="n"/>
      <c r="G9" s="17" t="n"/>
      <c r="H9" s="17" t="n"/>
      <c r="I9" s="17" t="n"/>
      <c r="J9" s="18">
        <f>Table1[[#This Row],[የደረቅ ኪ.ግ Dry kg]]*Table1[[#This Row],[ለመኪና]]</f>
        <v/>
      </c>
      <c r="K9" s="18">
        <f>Table1[[#This Row],[የደረቅ ኪ.ግ Dry kg]]*Table1[[#This Row],[ለጠቅላላ]]</f>
        <v/>
      </c>
      <c r="L9" s="60" t="n"/>
      <c r="M9" s="59" t="n"/>
    </row>
    <row r="10" s="94">
      <c r="A10" s="17">
        <f>ROW()-7</f>
        <v/>
      </c>
      <c r="B10" s="37" t="n"/>
      <c r="C10" s="20" t="n"/>
      <c r="D10" s="38" t="n"/>
      <c r="E10" s="17" t="n"/>
      <c r="F10" s="17" t="n"/>
      <c r="G10" s="17" t="n"/>
      <c r="H10" s="17" t="n"/>
      <c r="I10" s="17" t="n"/>
      <c r="J10" s="18" t="n"/>
      <c r="K10" s="18" t="n"/>
      <c r="L10" s="60" t="n"/>
      <c r="M10" s="59" t="n"/>
    </row>
    <row r="11" s="94">
      <c r="A11" s="17">
        <f>ROW()-7</f>
        <v/>
      </c>
      <c r="B11" s="19" t="n"/>
      <c r="C11" s="20" t="n"/>
      <c r="D11" s="16" t="n"/>
      <c r="E11" s="17" t="n"/>
      <c r="F11" s="17" t="n"/>
      <c r="G11" s="17" t="n"/>
      <c r="H11" s="17" t="n"/>
      <c r="I11" s="17" t="n"/>
      <c r="J11" s="18" t="n"/>
      <c r="K11" s="18" t="n"/>
      <c r="L11" s="60" t="n"/>
      <c r="M11" s="59" t="n"/>
    </row>
    <row r="12" customFormat="1" s="2">
      <c r="A12" s="17">
        <f>ROW()-7</f>
        <v/>
      </c>
      <c r="B12" s="19" t="n"/>
      <c r="C12" s="20" t="n"/>
      <c r="D12" s="16" t="n"/>
      <c r="E12" s="17" t="n"/>
      <c r="F12" s="17" t="n"/>
      <c r="G12" s="17" t="n"/>
      <c r="H12" s="17" t="n"/>
      <c r="I12" s="17" t="n"/>
      <c r="J12" s="18" t="n"/>
      <c r="K12" s="18" t="n"/>
      <c r="L12" s="60" t="n"/>
      <c r="M12" s="59" t="n"/>
    </row>
    <row r="13" customFormat="1" s="4">
      <c r="A13" s="17">
        <f>ROW()-7</f>
        <v/>
      </c>
      <c r="B13" s="19" t="n"/>
      <c r="C13" s="20" t="n"/>
      <c r="D13" s="16" t="n"/>
      <c r="E13" s="17" t="n"/>
      <c r="F13" s="17" t="n"/>
      <c r="G13" s="17" t="n"/>
      <c r="H13" s="17" t="n"/>
      <c r="I13" s="17" t="n"/>
      <c r="J13" s="18" t="n"/>
      <c r="K13" s="18" t="n"/>
      <c r="L13" s="60" t="n"/>
      <c r="M13" s="59" t="n"/>
    </row>
    <row r="14">
      <c r="A14" s="17">
        <f>ROW()-7</f>
        <v/>
      </c>
      <c r="B14" s="19" t="n"/>
      <c r="C14" s="20" t="n"/>
      <c r="D14" s="16" t="n"/>
      <c r="E14" s="17" t="n"/>
      <c r="F14" s="17" t="n"/>
      <c r="G14" s="17" t="n"/>
      <c r="H14" s="17" t="n"/>
      <c r="I14" s="17" t="n"/>
      <c r="J14" s="18" t="n"/>
      <c r="K14" s="18" t="n"/>
      <c r="L14" s="60" t="n"/>
      <c r="M14" s="59" t="n"/>
    </row>
    <row r="15" s="94">
      <c r="A15" s="17">
        <f>ROW()-7</f>
        <v/>
      </c>
      <c r="B15" s="19" t="n"/>
      <c r="C15" s="20" t="n"/>
      <c r="D15" s="16" t="n"/>
      <c r="E15" s="17" t="n"/>
      <c r="F15" s="17" t="n"/>
      <c r="G15" s="17" t="n"/>
      <c r="H15" s="17" t="n"/>
      <c r="I15" s="17" t="n"/>
      <c r="J15" s="18" t="n"/>
      <c r="K15" s="18" t="n"/>
      <c r="L15" s="60" t="n"/>
      <c r="M15" s="59" t="n"/>
    </row>
    <row r="16" s="94">
      <c r="A16" s="17">
        <f>ROW()-7</f>
        <v/>
      </c>
      <c r="B16" s="19" t="n"/>
      <c r="C16" s="20" t="n"/>
      <c r="D16" s="16" t="n"/>
      <c r="E16" s="17" t="n"/>
      <c r="F16" s="17" t="n"/>
      <c r="G16" s="17" t="n"/>
      <c r="H16" s="17" t="n"/>
      <c r="I16" s="17" t="n"/>
      <c r="J16" s="18" t="n"/>
      <c r="K16" s="18" t="n"/>
      <c r="L16" s="60" t="n"/>
      <c r="M16" s="59" t="n"/>
    </row>
    <row r="17" customFormat="1" s="69">
      <c r="A17" s="17">
        <f>ROW()-7</f>
        <v/>
      </c>
      <c r="B17" s="19" t="n"/>
      <c r="C17" s="20" t="n"/>
      <c r="D17" s="16" t="n"/>
      <c r="E17" s="17" t="n"/>
      <c r="F17" s="17" t="n"/>
      <c r="G17" s="17" t="n"/>
      <c r="H17" s="17" t="n"/>
      <c r="I17" s="17" t="n"/>
      <c r="J17" s="18" t="n"/>
      <c r="K17" s="18" t="n"/>
      <c r="L17" s="60" t="n"/>
      <c r="M17" s="59" t="n"/>
    </row>
    <row r="18" s="94">
      <c r="A18" s="17">
        <f>ROW()-7</f>
        <v/>
      </c>
      <c r="B18" s="19" t="n"/>
      <c r="C18" s="20" t="n"/>
      <c r="D18" s="16" t="n"/>
      <c r="E18" s="17" t="n"/>
      <c r="F18" s="17" t="n"/>
      <c r="G18" s="17" t="n"/>
      <c r="H18" s="17" t="n"/>
      <c r="I18" s="17" t="n"/>
      <c r="J18" s="18" t="n"/>
      <c r="K18" s="18" t="n"/>
      <c r="L18" s="60" t="n"/>
      <c r="M18" s="59" t="n"/>
    </row>
    <row r="19" s="94">
      <c r="A19" s="17">
        <f>ROW()-7</f>
        <v/>
      </c>
      <c r="B19" s="37" t="n"/>
      <c r="C19" s="20" t="n"/>
      <c r="D19" s="38" t="n"/>
      <c r="E19" s="17" t="n"/>
      <c r="F19" s="17" t="n"/>
      <c r="G19" s="17" t="n"/>
      <c r="H19" s="17" t="n"/>
      <c r="I19" s="17" t="n"/>
      <c r="J19" s="18" t="n"/>
      <c r="K19" s="18" t="n"/>
      <c r="L19" s="60" t="n"/>
      <c r="M19" s="59" t="n"/>
    </row>
    <row r="20">
      <c r="A20" s="17">
        <f>ROW()-7</f>
        <v/>
      </c>
      <c r="B20" s="19" t="n"/>
      <c r="C20" s="20" t="n"/>
      <c r="D20" s="16" t="n"/>
      <c r="E20" s="17" t="n"/>
      <c r="F20" s="17" t="n"/>
      <c r="G20" s="17" t="n"/>
      <c r="H20" s="17" t="n"/>
      <c r="I20" s="17" t="n"/>
      <c r="J20" s="18" t="n"/>
      <c r="K20" s="18" t="n"/>
      <c r="L20" s="60" t="n"/>
      <c r="M20" s="59" t="n"/>
    </row>
    <row r="21" s="94">
      <c r="A21" s="17">
        <f>ROW()-7</f>
        <v/>
      </c>
      <c r="B21" s="37" t="n"/>
      <c r="C21" s="20" t="n"/>
      <c r="D21" s="16" t="n"/>
      <c r="E21" s="17" t="n"/>
      <c r="F21" s="17" t="n"/>
      <c r="G21" s="17" t="n"/>
      <c r="H21" s="17" t="n"/>
      <c r="I21" s="17" t="n"/>
      <c r="J21" s="18" t="n"/>
      <c r="K21" s="18" t="n"/>
      <c r="L21" s="60" t="n"/>
      <c r="M21" s="59" t="n"/>
    </row>
    <row r="22" customFormat="1" s="2">
      <c r="A22" s="17">
        <f>ROW()-7</f>
        <v/>
      </c>
      <c r="B22" s="37" t="n"/>
      <c r="C22" s="20" t="n"/>
      <c r="D22" s="16" t="n"/>
      <c r="E22" s="17" t="n"/>
      <c r="F22" s="17" t="n"/>
      <c r="G22" s="17" t="n"/>
      <c r="H22" s="17" t="n"/>
      <c r="I22" s="17" t="n"/>
      <c r="J22" s="18" t="n"/>
      <c r="K22" s="18" t="n"/>
      <c r="L22" s="60" t="n"/>
      <c r="M22" s="59" t="n"/>
    </row>
    <row r="23" customFormat="1" s="2">
      <c r="A23" s="17">
        <f>ROW()-7</f>
        <v/>
      </c>
      <c r="B23" s="37" t="n"/>
      <c r="C23" s="20" t="n"/>
      <c r="D23" s="38" t="n"/>
      <c r="E23" s="17" t="n"/>
      <c r="F23" s="17" t="n"/>
      <c r="G23" s="17" t="n"/>
      <c r="H23" s="17" t="n"/>
      <c r="I23" s="17" t="n"/>
      <c r="J23" s="18" t="n"/>
      <c r="K23" s="18" t="n"/>
      <c r="L23" s="60" t="n"/>
      <c r="M23" s="59" t="n"/>
    </row>
    <row r="24" s="94">
      <c r="A24" s="17">
        <f>ROW()-7</f>
        <v/>
      </c>
      <c r="B24" s="37" t="n"/>
      <c r="C24" s="20" t="n"/>
      <c r="D24" s="16" t="n"/>
      <c r="E24" s="17" t="n"/>
      <c r="F24" s="17" t="n"/>
      <c r="G24" s="17" t="n"/>
      <c r="H24" s="17" t="n"/>
      <c r="I24" s="17" t="n"/>
      <c r="J24" s="18" t="n"/>
      <c r="K24" s="18" t="n"/>
      <c r="L24" s="60" t="n"/>
      <c r="M24" s="59" t="n"/>
    </row>
    <row r="25" s="94">
      <c r="A25" s="17">
        <f>ROW()-7</f>
        <v/>
      </c>
      <c r="B25" s="19" t="n"/>
      <c r="C25" s="20" t="n"/>
      <c r="D25" s="16" t="n"/>
      <c r="E25" s="17" t="n"/>
      <c r="F25" s="17" t="n"/>
      <c r="G25" s="17" t="n"/>
      <c r="H25" s="17" t="n"/>
      <c r="I25" s="17" t="n"/>
      <c r="J25" s="18" t="n"/>
      <c r="K25" s="18" t="n"/>
      <c r="L25" s="60" t="n"/>
      <c r="M25" s="59" t="n"/>
    </row>
    <row r="26" customFormat="1" s="2">
      <c r="A26" s="17">
        <f>ROW()-7</f>
        <v/>
      </c>
      <c r="B26" s="19" t="n"/>
      <c r="C26" s="20" t="n"/>
      <c r="D26" s="38" t="n"/>
      <c r="E26" s="17" t="n"/>
      <c r="F26" s="17" t="n"/>
      <c r="G26" s="17" t="n"/>
      <c r="H26" s="17" t="n"/>
      <c r="I26" s="17" t="n"/>
      <c r="J26" s="18" t="n"/>
      <c r="K26" s="18" t="n"/>
      <c r="L26" s="60" t="n"/>
      <c r="M26" s="59" t="n"/>
    </row>
    <row r="27">
      <c r="A27" s="17">
        <f>ROW()-7</f>
        <v/>
      </c>
      <c r="B27" s="19" t="n"/>
      <c r="C27" s="20" t="n"/>
      <c r="D27" s="16" t="n"/>
      <c r="E27" s="17" t="n"/>
      <c r="F27" s="17" t="n"/>
      <c r="G27" s="17" t="n"/>
      <c r="H27" s="17" t="n"/>
      <c r="I27" s="17" t="n"/>
      <c r="J27" s="18" t="n"/>
      <c r="K27" s="18" t="n"/>
      <c r="L27" s="60" t="n"/>
      <c r="M27" s="59" t="n"/>
    </row>
    <row r="28" s="94">
      <c r="A28" s="17">
        <f>ROW()-7</f>
        <v/>
      </c>
      <c r="B28" s="19" t="n"/>
      <c r="C28" s="20" t="n"/>
      <c r="D28" s="16" t="n"/>
      <c r="E28" s="17" t="n"/>
      <c r="F28" s="17" t="n"/>
      <c r="G28" s="17" t="n"/>
      <c r="H28" s="17" t="n"/>
      <c r="I28" s="17" t="n"/>
      <c r="J28" s="18" t="n"/>
      <c r="K28" s="18" t="n"/>
      <c r="L28" s="60" t="n"/>
      <c r="M28" s="59" t="n"/>
    </row>
    <row r="29" s="94">
      <c r="A29" s="17">
        <f>ROW()-7</f>
        <v/>
      </c>
      <c r="B29" s="19" t="n"/>
      <c r="C29" s="20" t="n"/>
      <c r="D29" s="16" t="n"/>
      <c r="E29" s="17" t="n"/>
      <c r="F29" s="17" t="n"/>
      <c r="G29" s="17" t="n"/>
      <c r="H29" s="17" t="n"/>
      <c r="I29" s="17" t="n"/>
      <c r="J29" s="18" t="n"/>
      <c r="K29" s="18" t="n"/>
      <c r="L29" s="60" t="n"/>
      <c r="M29" s="59" t="n"/>
    </row>
    <row r="30" s="94">
      <c r="A30" s="17">
        <f>ROW()-7</f>
        <v/>
      </c>
      <c r="B30" s="19" t="n"/>
      <c r="C30" s="20" t="n"/>
      <c r="D30" s="16" t="n"/>
      <c r="E30" s="17" t="n"/>
      <c r="F30" s="17" t="n"/>
      <c r="G30" s="17" t="n"/>
      <c r="H30" s="17" t="n"/>
      <c r="I30" s="17" t="n"/>
      <c r="J30" s="18" t="n"/>
      <c r="K30" s="18" t="n"/>
      <c r="L30" s="60" t="n"/>
      <c r="M30" s="59" t="n"/>
    </row>
    <row r="31" s="94">
      <c r="A31" s="17">
        <f>ROW()-7</f>
        <v/>
      </c>
      <c r="B31" s="19" t="n"/>
      <c r="C31" s="20" t="n"/>
      <c r="D31" s="16" t="n"/>
      <c r="E31" s="17" t="n"/>
      <c r="F31" s="17" t="n"/>
      <c r="G31" s="17" t="n"/>
      <c r="H31" s="17" t="n"/>
      <c r="I31" s="17" t="n"/>
      <c r="J31" s="18" t="n"/>
      <c r="K31" s="18" t="n"/>
      <c r="L31" s="60" t="n"/>
      <c r="M31" s="59" t="n"/>
    </row>
    <row r="32" s="94">
      <c r="A32" s="17">
        <f>ROW()-7</f>
        <v/>
      </c>
      <c r="B32" s="19" t="n"/>
      <c r="C32" s="20" t="n"/>
      <c r="D32" s="16" t="n"/>
      <c r="E32" s="17" t="n"/>
      <c r="F32" s="17" t="n"/>
      <c r="G32" s="17" t="n"/>
      <c r="H32" s="17" t="n"/>
      <c r="I32" s="17" t="n"/>
      <c r="J32" s="18" t="n"/>
      <c r="K32" s="18" t="n"/>
      <c r="L32" s="60" t="n"/>
      <c r="M32" s="59" t="n"/>
    </row>
    <row r="33" s="94">
      <c r="A33" s="17">
        <f>ROW()-7</f>
        <v/>
      </c>
      <c r="B33" s="19" t="n"/>
      <c r="C33" s="20" t="n"/>
      <c r="D33" s="16" t="n"/>
      <c r="E33" s="17" t="n"/>
      <c r="F33" s="17" t="n"/>
      <c r="G33" s="17" t="n"/>
      <c r="H33" s="17" t="n"/>
      <c r="I33" s="17" t="n"/>
      <c r="J33" s="18" t="n"/>
      <c r="K33" s="18" t="n"/>
      <c r="L33" s="60" t="n"/>
      <c r="M33" s="59" t="n"/>
    </row>
    <row r="34" s="94">
      <c r="A34" s="17">
        <f>ROW()-7</f>
        <v/>
      </c>
      <c r="B34" s="19" t="n"/>
      <c r="C34" s="20" t="n"/>
      <c r="D34" s="16" t="n"/>
      <c r="E34" s="17" t="n"/>
      <c r="F34" s="17" t="n"/>
      <c r="G34" s="17" t="n"/>
      <c r="H34" s="17" t="n"/>
      <c r="I34" s="17" t="n"/>
      <c r="J34" s="18" t="n"/>
      <c r="K34" s="18" t="n"/>
      <c r="L34" s="60" t="n"/>
      <c r="M34" s="59" t="n"/>
    </row>
    <row r="35" s="94">
      <c r="A35" s="17">
        <f>ROW()-7</f>
        <v/>
      </c>
      <c r="B35" s="19" t="n"/>
      <c r="C35" s="20" t="n"/>
      <c r="D35" s="16" t="n"/>
      <c r="E35" s="17" t="n"/>
      <c r="F35" s="17" t="n"/>
      <c r="G35" s="17" t="n"/>
      <c r="H35" s="17" t="n"/>
      <c r="I35" s="17" t="n"/>
      <c r="J35" s="18" t="n"/>
      <c r="K35" s="18" t="n"/>
      <c r="L35" s="60" t="n"/>
      <c r="M35" s="59" t="n"/>
    </row>
    <row r="36">
      <c r="A36" s="17">
        <f>ROW()-7</f>
        <v/>
      </c>
      <c r="B36" s="19" t="n"/>
      <c r="C36" s="20" t="n"/>
      <c r="D36" s="38" t="n"/>
      <c r="E36" s="17" t="n"/>
      <c r="F36" s="17" t="n"/>
      <c r="G36" s="17" t="n"/>
      <c r="H36" s="17" t="n"/>
      <c r="I36" s="17" t="n"/>
      <c r="J36" s="18" t="n"/>
      <c r="K36" s="18" t="n"/>
      <c r="L36" s="60" t="n"/>
      <c r="M36" s="59" t="n"/>
    </row>
    <row r="37" ht="15.75" customFormat="1" customHeight="1" s="6">
      <c r="A37" s="17">
        <f>ROW()-7</f>
        <v/>
      </c>
      <c r="B37" s="19" t="n"/>
      <c r="C37" s="20" t="n"/>
      <c r="D37" s="16" t="n"/>
      <c r="E37" s="17" t="n"/>
      <c r="F37" s="17" t="n"/>
      <c r="G37" s="17" t="n"/>
      <c r="H37" s="17" t="n"/>
      <c r="I37" s="17" t="n"/>
      <c r="J37" s="18" t="n"/>
      <c r="K37" s="18" t="n"/>
      <c r="L37" s="60" t="n"/>
      <c r="M37" s="59" t="n"/>
    </row>
    <row r="38">
      <c r="A38" s="17">
        <f>ROW()-7</f>
        <v/>
      </c>
      <c r="B38" s="19" t="n"/>
      <c r="C38" s="20" t="n"/>
      <c r="D38" s="16" t="n"/>
      <c r="E38" s="17" t="n"/>
      <c r="F38" s="17" t="n"/>
      <c r="G38" s="17" t="n"/>
      <c r="H38" s="17" t="n"/>
      <c r="I38" s="17" t="n"/>
      <c r="J38" s="18" t="n"/>
      <c r="K38" s="18" t="n"/>
      <c r="L38" s="60" t="n"/>
      <c r="M38" s="59" t="n"/>
    </row>
    <row r="39">
      <c r="A39" s="17">
        <f>ROW()-7</f>
        <v/>
      </c>
      <c r="B39" s="19" t="n"/>
      <c r="C39" s="20" t="n"/>
      <c r="D39" s="16" t="n"/>
      <c r="E39" s="17" t="n"/>
      <c r="F39" s="17" t="n"/>
      <c r="G39" s="17" t="n"/>
      <c r="H39" s="17" t="n"/>
      <c r="I39" s="17" t="n"/>
      <c r="J39" s="18" t="n"/>
      <c r="K39" s="18" t="n"/>
      <c r="L39" s="60" t="n"/>
      <c r="M39" s="59" t="n"/>
    </row>
    <row r="40">
      <c r="A40" s="17">
        <f>ROW()-7</f>
        <v/>
      </c>
      <c r="B40" s="19" t="n"/>
      <c r="C40" s="20" t="n"/>
      <c r="D40" s="16" t="n"/>
      <c r="E40" s="17" t="n"/>
      <c r="F40" s="17" t="n"/>
      <c r="G40" s="17" t="n"/>
      <c r="H40" s="17" t="n"/>
      <c r="I40" s="17" t="n"/>
      <c r="J40" s="18" t="n"/>
      <c r="K40" s="18" t="n"/>
      <c r="L40" s="60" t="n"/>
      <c r="M40" s="59" t="n"/>
    </row>
    <row r="41">
      <c r="A41" s="17">
        <f>ROW()-7</f>
        <v/>
      </c>
      <c r="B41" s="19" t="n"/>
      <c r="C41" s="20" t="n"/>
      <c r="D41" s="38" t="n"/>
      <c r="E41" s="17" t="n"/>
      <c r="F41" s="17" t="n"/>
      <c r="G41" s="17" t="n"/>
      <c r="H41" s="17" t="n"/>
      <c r="I41" s="17" t="n"/>
      <c r="J41" s="18" t="n"/>
      <c r="K41" s="18" t="n"/>
      <c r="L41" s="60" t="n"/>
      <c r="M41" s="59" t="n"/>
    </row>
    <row r="42">
      <c r="A42" s="17">
        <f>ROW()-7</f>
        <v/>
      </c>
      <c r="B42" s="19" t="n"/>
      <c r="C42" s="20" t="n"/>
      <c r="D42" s="16" t="n"/>
      <c r="E42" s="17" t="n"/>
      <c r="F42" s="17" t="n"/>
      <c r="G42" s="17" t="n"/>
      <c r="H42" s="17" t="n"/>
      <c r="I42" s="17" t="n"/>
      <c r="J42" s="18" t="n"/>
      <c r="K42" s="18" t="n"/>
      <c r="L42" s="60" t="n"/>
      <c r="M42" s="59" t="n"/>
    </row>
    <row r="43">
      <c r="A43" s="17">
        <f>ROW()-7</f>
        <v/>
      </c>
      <c r="B43" s="19" t="n"/>
      <c r="C43" s="20" t="n"/>
      <c r="D43" s="38" t="n"/>
      <c r="E43" s="17" t="n"/>
      <c r="F43" s="17" t="n"/>
      <c r="G43" s="17" t="n"/>
      <c r="H43" s="17" t="n"/>
      <c r="I43" s="17" t="n"/>
      <c r="J43" s="18" t="n"/>
      <c r="K43" s="18" t="n"/>
      <c r="L43" s="60" t="n"/>
      <c r="M43" s="59" t="n"/>
    </row>
    <row r="44">
      <c r="A44" s="17">
        <f>ROW()-7</f>
        <v/>
      </c>
      <c r="B44" s="98" t="n"/>
      <c r="C44" s="95" t="n"/>
      <c r="D44" s="99" t="n"/>
      <c r="E44" s="97" t="n"/>
      <c r="F44" s="97" t="n"/>
      <c r="G44" s="97" t="n"/>
      <c r="H44" s="97" t="n"/>
      <c r="I44" s="97" t="n"/>
      <c r="J44" s="18">
        <f>Table1[[#This Row],[የለጠፍ ኪ.ግ Post it kg]]*Table1[[#This Row],[ለመኪና]]</f>
        <v/>
      </c>
      <c r="K44" s="18">
        <f>Table1[[#This Row],[የለጠፍ ኪ.ግ Post it kg]]*Table1[[#This Row],[ለጠቅላላ]]</f>
        <v/>
      </c>
      <c r="L44" s="60" t="n"/>
      <c r="M44" s="59" t="n"/>
    </row>
    <row r="45">
      <c r="A45" s="17">
        <f>ROW()-7</f>
        <v/>
      </c>
      <c r="B45" s="37" t="n"/>
      <c r="C45" s="20" t="n"/>
      <c r="D45" s="38" t="n"/>
      <c r="E45" s="17" t="n"/>
      <c r="F45" s="17" t="n"/>
      <c r="G45" s="17" t="n"/>
      <c r="H45" s="17" t="n"/>
      <c r="I45" s="17" t="n"/>
      <c r="J45" s="18">
        <f>Table1[[#This Row],[የለጠፍ ኪ.ግ Post it kg]]*Table1[[#This Row],[ለመኪና]]</f>
        <v/>
      </c>
      <c r="K45" s="18">
        <f>Table1[[#This Row],[የለጠፍ ኪ.ግ Post it kg]]*Table1[[#This Row],[ለጠቅላላ]]</f>
        <v/>
      </c>
      <c r="L45" s="60" t="n"/>
      <c r="M45" s="59" t="n"/>
    </row>
    <row r="46">
      <c r="A46" s="17">
        <f>ROW()-7</f>
        <v/>
      </c>
      <c r="B46" s="19" t="n"/>
      <c r="C46" s="20" t="n"/>
      <c r="D46" s="16" t="n"/>
      <c r="E46" s="17" t="n"/>
      <c r="F46" s="17" t="n"/>
      <c r="G46" s="17" t="n"/>
      <c r="H46" s="17" t="n"/>
      <c r="I46" s="17" t="n"/>
      <c r="J46" s="18">
        <f>Table1[[#This Row],[የለጠፍ ኪ.ግ Post it kg]]*Table1[[#This Row],[ለመኪና]]</f>
        <v/>
      </c>
      <c r="K46" s="18">
        <f>Table1[[#This Row],[የለጠፍ ኪ.ግ Post it kg]]*Table1[[#This Row],[ለጠቅላላ]]</f>
        <v/>
      </c>
      <c r="L46" s="60" t="n"/>
      <c r="M46" s="59" t="n"/>
    </row>
    <row r="47">
      <c r="A47" s="17">
        <f>ROW()-7</f>
        <v/>
      </c>
      <c r="B47" s="19" t="n"/>
      <c r="C47" s="20" t="n"/>
      <c r="D47" s="16" t="n"/>
      <c r="E47" s="17" t="n"/>
      <c r="F47" s="17" t="n"/>
      <c r="G47" s="17" t="n"/>
      <c r="H47" s="17" t="n"/>
      <c r="I47" s="17" t="n"/>
      <c r="J47" s="18" t="n"/>
      <c r="K47" s="18" t="n"/>
      <c r="L47" s="60" t="n"/>
      <c r="M47" s="59" t="n"/>
    </row>
    <row r="48">
      <c r="A48" s="17">
        <f>ROW()-7</f>
        <v/>
      </c>
      <c r="B48" s="19" t="n"/>
      <c r="C48" s="20" t="n"/>
      <c r="D48" s="16" t="n"/>
      <c r="E48" s="17" t="n"/>
      <c r="F48" s="17" t="n"/>
      <c r="G48" s="17" t="n"/>
      <c r="H48" s="17" t="n"/>
      <c r="I48" s="17" t="n"/>
      <c r="J48" s="18" t="n"/>
      <c r="K48" s="18" t="n"/>
      <c r="L48" s="60" t="n"/>
      <c r="M48" s="59" t="n"/>
    </row>
    <row r="49">
      <c r="A49" s="17">
        <f>ROW()-7</f>
        <v/>
      </c>
      <c r="B49" s="19" t="n"/>
      <c r="C49" s="20" t="n"/>
      <c r="D49" s="16" t="n"/>
      <c r="E49" s="17" t="n"/>
      <c r="F49" s="17" t="n"/>
      <c r="G49" s="17" t="n"/>
      <c r="H49" s="17" t="n"/>
      <c r="I49" s="17" t="n"/>
      <c r="J49" s="18" t="n"/>
      <c r="K49" s="18" t="n"/>
      <c r="L49" s="60" t="n"/>
      <c r="M49" s="59" t="n"/>
    </row>
    <row r="50">
      <c r="A50" s="17">
        <f>ROW()-7</f>
        <v/>
      </c>
      <c r="B50" s="19" t="n"/>
      <c r="C50" s="20" t="n"/>
      <c r="D50" s="38" t="n"/>
      <c r="E50" s="17" t="n"/>
      <c r="F50" s="17" t="n"/>
      <c r="G50" s="17" t="n"/>
      <c r="H50" s="17" t="n"/>
      <c r="I50" s="17" t="n"/>
      <c r="J50" s="18" t="n"/>
      <c r="K50" s="18" t="n"/>
      <c r="L50" s="60" t="n"/>
      <c r="M50" s="59" t="n"/>
    </row>
    <row r="51">
      <c r="A51" s="17">
        <f>ROW()-7</f>
        <v/>
      </c>
      <c r="B51" s="37" t="n"/>
      <c r="C51" s="20" t="n"/>
      <c r="D51" s="38" t="n"/>
      <c r="E51" s="17" t="n"/>
      <c r="F51" s="17" t="n"/>
      <c r="G51" s="17" t="n"/>
      <c r="H51" s="17" t="n"/>
      <c r="I51" s="17" t="n"/>
      <c r="J51" s="18" t="n"/>
      <c r="K51" s="18" t="n"/>
      <c r="L51" s="60" t="n"/>
      <c r="M51" s="59" t="n"/>
    </row>
    <row r="52">
      <c r="A52" s="17">
        <f>ROW()-7</f>
        <v/>
      </c>
      <c r="B52" s="37" t="n"/>
      <c r="C52" s="20" t="n"/>
      <c r="D52" s="16" t="n"/>
      <c r="E52" s="17" t="n"/>
      <c r="F52" s="17" t="n"/>
      <c r="G52" s="17" t="n"/>
      <c r="H52" s="17" t="n"/>
      <c r="I52" s="17" t="n"/>
      <c r="J52" s="18" t="n"/>
      <c r="K52" s="18" t="n"/>
      <c r="L52" s="60" t="n"/>
      <c r="M52" s="59" t="n"/>
    </row>
    <row r="53">
      <c r="A53" s="17">
        <f>ROW()-7</f>
        <v/>
      </c>
      <c r="B53" s="37" t="n"/>
      <c r="C53" s="20" t="n"/>
      <c r="D53" s="38" t="n"/>
      <c r="E53" s="17" t="n"/>
      <c r="F53" s="17" t="n"/>
      <c r="G53" s="17" t="n"/>
      <c r="H53" s="17" t="n"/>
      <c r="I53" s="17" t="n"/>
      <c r="J53" s="18" t="n"/>
      <c r="K53" s="18" t="n"/>
      <c r="L53" s="60" t="n"/>
      <c r="M53" s="59" t="n"/>
    </row>
    <row r="54">
      <c r="A54" s="17">
        <f>ROW()-7</f>
        <v/>
      </c>
      <c r="B54" s="19" t="n"/>
      <c r="C54" s="20" t="n"/>
      <c r="D54" s="16" t="n"/>
      <c r="E54" s="17" t="n"/>
      <c r="F54" s="17" t="n"/>
      <c r="G54" s="17" t="n"/>
      <c r="H54" s="17" t="n"/>
      <c r="I54" s="17" t="n"/>
      <c r="J54" s="18" t="n"/>
      <c r="K54" s="18" t="n"/>
      <c r="L54" s="60" t="n"/>
      <c r="M54" s="59" t="n"/>
    </row>
    <row r="55">
      <c r="A55" s="17">
        <f>ROW()-7</f>
        <v/>
      </c>
      <c r="B55" s="19" t="n"/>
      <c r="C55" s="20" t="n"/>
      <c r="D55" s="16" t="n"/>
      <c r="E55" s="17" t="n"/>
      <c r="F55" s="17" t="n"/>
      <c r="G55" s="17" t="n"/>
      <c r="H55" s="17" t="n"/>
      <c r="I55" s="17" t="n"/>
      <c r="J55" s="18" t="n"/>
      <c r="K55" s="18" t="n"/>
      <c r="L55" s="60" t="n"/>
      <c r="M55" s="59" t="n"/>
    </row>
    <row r="56">
      <c r="A56" s="17">
        <f>ROW()-7</f>
        <v/>
      </c>
      <c r="B56" s="37" t="n"/>
      <c r="C56" s="20" t="n"/>
      <c r="D56" s="38" t="n"/>
      <c r="E56" s="17" t="n"/>
      <c r="F56" s="17" t="n"/>
      <c r="G56" s="17" t="n"/>
      <c r="H56" s="17" t="n"/>
      <c r="I56" s="17" t="n"/>
      <c r="J56" s="18" t="n"/>
      <c r="K56" s="18" t="n"/>
      <c r="L56" s="60" t="n"/>
      <c r="M56" s="59" t="n"/>
    </row>
    <row r="57">
      <c r="A57" s="17">
        <f>ROW()-7</f>
        <v/>
      </c>
      <c r="B57" s="19" t="n"/>
      <c r="C57" s="20" t="n"/>
      <c r="D57" s="16" t="n"/>
      <c r="E57" s="17" t="n"/>
      <c r="F57" s="17" t="n"/>
      <c r="G57" s="17" t="n"/>
      <c r="H57" s="17" t="n"/>
      <c r="I57" s="17" t="n"/>
      <c r="J57" s="18" t="n"/>
      <c r="K57" s="18" t="n"/>
      <c r="L57" s="60" t="n"/>
      <c r="M57" s="59" t="n"/>
    </row>
    <row r="58">
      <c r="A58" s="17">
        <f>ROW()-7</f>
        <v/>
      </c>
      <c r="B58" s="19" t="n"/>
      <c r="C58" s="20" t="n"/>
      <c r="D58" s="16" t="n"/>
      <c r="E58" s="17" t="n"/>
      <c r="F58" s="17" t="n"/>
      <c r="G58" s="17" t="n"/>
      <c r="H58" s="17" t="n"/>
      <c r="I58" s="17" t="n"/>
      <c r="J58" s="18" t="n"/>
      <c r="K58" s="18" t="n"/>
      <c r="L58" s="60" t="n"/>
      <c r="M58" s="59" t="n"/>
    </row>
    <row r="59">
      <c r="A59" s="17">
        <f>ROW()-7</f>
        <v/>
      </c>
      <c r="B59" s="19" t="n"/>
      <c r="C59" s="20" t="n"/>
      <c r="D59" s="16" t="n"/>
      <c r="E59" s="17" t="n"/>
      <c r="F59" s="17" t="n"/>
      <c r="G59" s="17" t="n"/>
      <c r="H59" s="17" t="n"/>
      <c r="I59" s="17" t="n"/>
      <c r="J59" s="18" t="n"/>
      <c r="K59" s="18" t="n"/>
      <c r="L59" s="60" t="n"/>
      <c r="M59" s="59" t="n"/>
    </row>
    <row r="60">
      <c r="A60" s="17">
        <f>ROW()-7</f>
        <v/>
      </c>
      <c r="B60" s="19" t="n"/>
      <c r="C60" s="20" t="n"/>
      <c r="D60" s="16" t="n"/>
      <c r="E60" s="17" t="n"/>
      <c r="F60" s="17" t="n"/>
      <c r="G60" s="17" t="n"/>
      <c r="H60" s="17" t="n"/>
      <c r="I60" s="17" t="n"/>
      <c r="J60" s="18" t="n"/>
      <c r="K60" s="18" t="n"/>
      <c r="L60" s="60" t="n"/>
      <c r="M60" s="59" t="n"/>
    </row>
    <row r="61">
      <c r="A61" s="17">
        <f>ROW()-7</f>
        <v/>
      </c>
      <c r="B61" s="19" t="n"/>
      <c r="C61" s="20" t="n"/>
      <c r="D61" s="16" t="n"/>
      <c r="E61" s="17" t="n"/>
      <c r="F61" s="17" t="n"/>
      <c r="G61" s="17" t="n"/>
      <c r="H61" s="17" t="n"/>
      <c r="I61" s="17" t="n"/>
      <c r="J61" s="18" t="n"/>
      <c r="K61" s="18" t="n"/>
      <c r="L61" s="60" t="n"/>
      <c r="M61" s="59" t="n"/>
    </row>
    <row r="62">
      <c r="A62" s="17">
        <f>ROW()-7</f>
        <v/>
      </c>
      <c r="B62" s="19" t="n"/>
      <c r="C62" s="20" t="n"/>
      <c r="D62" s="16" t="n"/>
      <c r="E62" s="17" t="n"/>
      <c r="F62" s="17" t="n"/>
      <c r="G62" s="17" t="n"/>
      <c r="H62" s="17" t="n"/>
      <c r="I62" s="17" t="n"/>
      <c r="J62" s="18" t="n"/>
      <c r="K62" s="18" t="n"/>
      <c r="L62" s="60" t="n"/>
      <c r="M62" s="59" t="n"/>
    </row>
    <row r="63">
      <c r="A63" s="17">
        <f>ROW()-7</f>
        <v/>
      </c>
      <c r="B63" s="19" t="n"/>
      <c r="C63" s="20" t="n"/>
      <c r="D63" s="16" t="n"/>
      <c r="E63" s="17" t="n"/>
      <c r="F63" s="17" t="n"/>
      <c r="G63" s="17" t="n"/>
      <c r="H63" s="17" t="n"/>
      <c r="I63" s="17" t="n"/>
      <c r="J63" s="18" t="n"/>
      <c r="K63" s="18" t="n"/>
      <c r="L63" s="60" t="n"/>
      <c r="M63" s="59" t="n"/>
    </row>
    <row r="64">
      <c r="A64" s="17">
        <f>ROW()-7</f>
        <v/>
      </c>
      <c r="B64" s="19" t="n"/>
      <c r="C64" s="20" t="n"/>
      <c r="D64" s="16" t="n"/>
      <c r="E64" s="17" t="n"/>
      <c r="F64" s="17" t="n"/>
      <c r="G64" s="17" t="n"/>
      <c r="H64" s="17" t="n"/>
      <c r="I64" s="17" t="n"/>
      <c r="J64" s="18" t="n"/>
      <c r="K64" s="18" t="n"/>
      <c r="L64" s="60" t="n"/>
      <c r="M64" s="59" t="n"/>
    </row>
    <row r="65">
      <c r="A65" s="17">
        <f>ROW()-7</f>
        <v/>
      </c>
      <c r="B65" s="37" t="n"/>
      <c r="C65" s="20" t="n"/>
      <c r="D65" s="38" t="n"/>
      <c r="E65" s="17" t="n"/>
      <c r="F65" s="17" t="n"/>
      <c r="G65" s="17" t="n"/>
      <c r="H65" s="17" t="n"/>
      <c r="I65" s="17" t="n"/>
      <c r="J65" s="18" t="n"/>
      <c r="K65" s="18" t="n"/>
      <c r="L65" s="60" t="n"/>
      <c r="M65" s="59" t="n"/>
    </row>
    <row r="66">
      <c r="A66" s="17">
        <f>ROW()-7</f>
        <v/>
      </c>
      <c r="B66" s="98" t="n"/>
      <c r="C66" s="95" t="n"/>
      <c r="D66" s="96" t="n"/>
      <c r="E66" s="97" t="n"/>
      <c r="F66" s="97" t="n"/>
      <c r="G66" s="97" t="n"/>
      <c r="H66" s="97" t="n"/>
      <c r="I66" s="97" t="n"/>
      <c r="J66" s="18" t="n"/>
      <c r="K66" s="18" t="n"/>
      <c r="L66" s="60" t="n"/>
      <c r="M66" s="59" t="n"/>
    </row>
    <row r="67">
      <c r="A67" s="17">
        <f>ROW()-7</f>
        <v/>
      </c>
      <c r="B67" s="19" t="n"/>
      <c r="C67" s="20" t="n"/>
      <c r="D67" s="16" t="n"/>
      <c r="E67" s="17" t="n"/>
      <c r="F67" s="17" t="n"/>
      <c r="G67" s="17" t="n"/>
      <c r="H67" s="17" t="n"/>
      <c r="I67" s="17" t="n"/>
      <c r="J67" s="18" t="n"/>
      <c r="K67" s="18" t="n"/>
      <c r="L67" s="60" t="n"/>
      <c r="M67" s="59" t="n"/>
    </row>
    <row r="68">
      <c r="A68" s="17">
        <f>ROW()-7</f>
        <v/>
      </c>
      <c r="B68" s="19" t="n"/>
      <c r="C68" s="20" t="n"/>
      <c r="D68" s="38" t="n"/>
      <c r="E68" s="17" t="n"/>
      <c r="F68" s="17" t="n"/>
      <c r="G68" s="17" t="n"/>
      <c r="H68" s="17" t="n"/>
      <c r="I68" s="17" t="n"/>
      <c r="J68" s="18" t="n"/>
      <c r="K68" s="18" t="n"/>
      <c r="L68" s="60" t="n"/>
      <c r="M68" s="59" t="n"/>
    </row>
    <row r="69">
      <c r="A69" s="17">
        <f>ROW()-7</f>
        <v/>
      </c>
      <c r="B69" s="19" t="n"/>
      <c r="C69" s="20" t="n"/>
      <c r="D69" s="16" t="n"/>
      <c r="E69" s="17" t="n"/>
      <c r="F69" s="17" t="n"/>
      <c r="G69" s="17" t="n"/>
      <c r="H69" s="17" t="n"/>
      <c r="I69" s="17" t="n"/>
      <c r="J69" s="18" t="n"/>
      <c r="K69" s="18" t="n"/>
      <c r="L69" s="60" t="n"/>
      <c r="M69" s="59" t="n"/>
    </row>
    <row r="70">
      <c r="A70" s="17">
        <f>ROW()-7</f>
        <v/>
      </c>
      <c r="B70" s="19" t="n"/>
      <c r="C70" s="20" t="n"/>
      <c r="D70" s="16" t="n"/>
      <c r="E70" s="17" t="n"/>
      <c r="F70" s="17" t="n"/>
      <c r="G70" s="17" t="n"/>
      <c r="H70" s="17" t="n"/>
      <c r="I70" s="17" t="n"/>
      <c r="J70" s="18" t="n"/>
      <c r="K70" s="18" t="n"/>
      <c r="L70" s="60" t="n"/>
      <c r="M70" s="59" t="n"/>
    </row>
    <row r="71">
      <c r="A71" s="17">
        <f>ROW()-7</f>
        <v/>
      </c>
      <c r="B71" s="19" t="n"/>
      <c r="C71" s="20" t="n"/>
      <c r="D71" s="16" t="n"/>
      <c r="E71" s="17" t="n"/>
      <c r="F71" s="17" t="n"/>
      <c r="G71" s="17" t="n"/>
      <c r="H71" s="17" t="n"/>
      <c r="I71" s="17" t="n"/>
      <c r="J71" s="18" t="n"/>
      <c r="K71" s="18" t="n"/>
      <c r="L71" s="60" t="n"/>
      <c r="M71" s="59" t="n"/>
    </row>
    <row r="72">
      <c r="A72" s="17">
        <f>ROW()-7</f>
        <v/>
      </c>
      <c r="B72" s="19" t="n"/>
      <c r="C72" s="20" t="n"/>
      <c r="D72" s="16" t="n"/>
      <c r="E72" s="17" t="n"/>
      <c r="F72" s="17" t="n"/>
      <c r="G72" s="17" t="n"/>
      <c r="H72" s="17" t="n"/>
      <c r="I72" s="17" t="n"/>
      <c r="J72" s="18" t="n"/>
      <c r="K72" s="18" t="n"/>
      <c r="L72" s="60" t="n"/>
      <c r="M72" s="59" t="n"/>
    </row>
    <row r="73">
      <c r="A73" s="17">
        <f>ROW()-7</f>
        <v/>
      </c>
      <c r="B73" s="19" t="n"/>
      <c r="C73" s="20" t="n"/>
      <c r="D73" s="16" t="n"/>
      <c r="E73" s="17" t="n"/>
      <c r="F73" s="17" t="n"/>
      <c r="G73" s="17" t="n"/>
      <c r="H73" s="17" t="n"/>
      <c r="I73" s="17" t="n"/>
      <c r="J73" s="18" t="n"/>
      <c r="K73" s="18" t="n"/>
      <c r="L73" s="60" t="n"/>
      <c r="M73" s="59" t="n"/>
    </row>
    <row r="74">
      <c r="A74" s="17">
        <f>ROW()-7</f>
        <v/>
      </c>
      <c r="B74" s="19" t="n"/>
      <c r="C74" s="20" t="n"/>
      <c r="D74" s="16" t="n"/>
      <c r="E74" s="17" t="n"/>
      <c r="F74" s="17" t="n"/>
      <c r="G74" s="17" t="n"/>
      <c r="H74" s="17" t="n"/>
      <c r="I74" s="17" t="n"/>
      <c r="J74" s="18" t="n"/>
      <c r="K74" s="18" t="n"/>
      <c r="L74" s="60" t="n"/>
      <c r="M74" s="59" t="n"/>
    </row>
    <row r="75">
      <c r="A75" s="17">
        <f>ROW()-7</f>
        <v/>
      </c>
      <c r="B75" s="19" t="n"/>
      <c r="C75" s="20" t="n"/>
      <c r="D75" s="16" t="n"/>
      <c r="E75" s="17" t="n"/>
      <c r="F75" s="17" t="n"/>
      <c r="G75" s="17" t="n"/>
      <c r="H75" s="17" t="n"/>
      <c r="I75" s="17" t="n"/>
      <c r="J75" s="18" t="n"/>
      <c r="K75" s="18" t="n"/>
      <c r="L75" s="60" t="n"/>
      <c r="M75" s="59" t="n"/>
    </row>
    <row r="76">
      <c r="A76" s="17">
        <f>ROW()-7</f>
        <v/>
      </c>
      <c r="B76" s="19" t="n"/>
      <c r="C76" s="20" t="n"/>
      <c r="D76" s="16" t="n"/>
      <c r="E76" s="17" t="n"/>
      <c r="F76" s="17" t="n"/>
      <c r="G76" s="17" t="n"/>
      <c r="H76" s="17" t="n"/>
      <c r="I76" s="17" t="n"/>
      <c r="J76" s="18" t="n"/>
      <c r="K76" s="18" t="n"/>
      <c r="L76" s="60" t="n"/>
      <c r="M76" s="59" t="n"/>
    </row>
    <row r="77">
      <c r="A77" s="17">
        <f>ROW()-7</f>
        <v/>
      </c>
      <c r="B77" s="19" t="n"/>
      <c r="C77" s="20" t="n"/>
      <c r="D77" s="16" t="n"/>
      <c r="E77" s="17" t="n"/>
      <c r="F77" s="17" t="n"/>
      <c r="G77" s="17" t="n"/>
      <c r="H77" s="17" t="n"/>
      <c r="I77" s="17" t="n"/>
      <c r="J77" s="18" t="n"/>
      <c r="K77" s="18" t="n"/>
      <c r="L77" s="60" t="n"/>
      <c r="M77" s="59" t="n"/>
    </row>
    <row r="78">
      <c r="A78" s="17">
        <f>ROW()-7</f>
        <v/>
      </c>
      <c r="B78" s="19" t="n"/>
      <c r="C78" s="20" t="n"/>
      <c r="D78" s="16" t="n"/>
      <c r="E78" s="17" t="n"/>
      <c r="F78" s="17" t="n"/>
      <c r="G78" s="17" t="n"/>
      <c r="H78" s="17" t="n"/>
      <c r="I78" s="17" t="n"/>
      <c r="J78" s="18" t="n"/>
      <c r="K78" s="18" t="n"/>
      <c r="L78" s="60" t="n"/>
      <c r="M78" s="59" t="n"/>
    </row>
    <row r="79">
      <c r="A79" s="17">
        <f>ROW()-7</f>
        <v/>
      </c>
      <c r="B79" s="19" t="n"/>
      <c r="C79" s="20" t="n"/>
      <c r="D79" s="16" t="n"/>
      <c r="E79" s="17" t="n"/>
      <c r="F79" s="17" t="n"/>
      <c r="G79" s="17" t="n"/>
      <c r="H79" s="17" t="n"/>
      <c r="I79" s="17" t="n"/>
      <c r="J79" s="18" t="n"/>
      <c r="K79" s="18" t="n"/>
      <c r="L79" s="60" t="n"/>
      <c r="M79" s="59" t="n"/>
    </row>
    <row r="80">
      <c r="A80" s="17">
        <f>ROW()-7</f>
        <v/>
      </c>
      <c r="B80" s="19" t="n"/>
      <c r="C80" s="20" t="n"/>
      <c r="D80" s="16" t="n"/>
      <c r="E80" s="17" t="n"/>
      <c r="F80" s="17" t="n"/>
      <c r="G80" s="17" t="n"/>
      <c r="H80" s="17" t="n"/>
      <c r="I80" s="17" t="n"/>
      <c r="J80" s="18" t="n"/>
      <c r="K80" s="18" t="n"/>
      <c r="L80" s="60" t="n"/>
      <c r="M80" s="59" t="n"/>
    </row>
    <row r="81">
      <c r="A81" s="17">
        <f>ROW()-7</f>
        <v/>
      </c>
      <c r="B81" s="19" t="n"/>
      <c r="C81" s="20" t="n"/>
      <c r="D81" s="16" t="n"/>
      <c r="E81" s="17" t="n"/>
      <c r="F81" s="17" t="n"/>
      <c r="G81" s="17" t="n"/>
      <c r="H81" s="17" t="n"/>
      <c r="I81" s="17" t="n"/>
      <c r="J81" s="18" t="n"/>
      <c r="K81" s="18" t="n"/>
      <c r="L81" s="60" t="n"/>
      <c r="M81" s="59" t="n"/>
    </row>
    <row r="82">
      <c r="A82" s="17">
        <f>ROW()-7</f>
        <v/>
      </c>
      <c r="B82" s="19" t="n"/>
      <c r="C82" s="20" t="n"/>
      <c r="D82" s="16" t="n"/>
      <c r="E82" s="17" t="n"/>
      <c r="F82" s="17" t="n"/>
      <c r="G82" s="17" t="n"/>
      <c r="H82" s="17" t="n"/>
      <c r="I82" s="17" t="n"/>
      <c r="J82" s="18" t="n"/>
      <c r="K82" s="18" t="n"/>
      <c r="L82" s="60" t="n"/>
      <c r="M82" s="59" t="n"/>
    </row>
    <row r="83">
      <c r="A83" s="17">
        <f>ROW()-7</f>
        <v/>
      </c>
      <c r="B83" s="19" t="n"/>
      <c r="C83" s="20" t="n"/>
      <c r="D83" s="16" t="n"/>
      <c r="E83" s="17" t="n"/>
      <c r="F83" s="17" t="n"/>
      <c r="G83" s="17" t="n"/>
      <c r="H83" s="17" t="n"/>
      <c r="I83" s="17" t="n"/>
      <c r="J83" s="18" t="n"/>
      <c r="K83" s="18" t="n"/>
      <c r="L83" s="60" t="n"/>
      <c r="M83" s="59" t="n"/>
    </row>
    <row r="84">
      <c r="A84" s="17">
        <f>ROW()-7</f>
        <v/>
      </c>
      <c r="B84" s="19" t="n"/>
      <c r="C84" s="20" t="n"/>
      <c r="D84" s="16" t="n"/>
      <c r="E84" s="17" t="n"/>
      <c r="F84" s="17" t="n"/>
      <c r="G84" s="17" t="n"/>
      <c r="H84" s="17" t="n"/>
      <c r="I84" s="17" t="n"/>
      <c r="J84" s="18" t="n"/>
      <c r="K84" s="18" t="n"/>
      <c r="L84" s="60" t="n"/>
      <c r="M84" s="59" t="n"/>
    </row>
    <row r="85">
      <c r="A85" s="17">
        <f>ROW()-7</f>
        <v/>
      </c>
      <c r="B85" s="19" t="n"/>
      <c r="C85" s="20" t="n"/>
      <c r="D85" s="16" t="n"/>
      <c r="E85" s="17" t="n"/>
      <c r="F85" s="17" t="n"/>
      <c r="G85" s="17" t="n"/>
      <c r="H85" s="17" t="n"/>
      <c r="I85" s="17" t="n"/>
      <c r="J85" s="18" t="n"/>
      <c r="K85" s="18" t="n"/>
      <c r="L85" s="60" t="n"/>
      <c r="M85" s="59" t="n"/>
    </row>
    <row r="86">
      <c r="A86" s="17">
        <f>ROW()-7</f>
        <v/>
      </c>
      <c r="B86" s="19" t="n"/>
      <c r="C86" s="20" t="n"/>
      <c r="D86" s="16" t="n"/>
      <c r="E86" s="17" t="n"/>
      <c r="F86" s="17" t="n"/>
      <c r="G86" s="17" t="n"/>
      <c r="H86" s="17" t="n"/>
      <c r="I86" s="17" t="n"/>
      <c r="J86" s="18" t="n"/>
      <c r="K86" s="18" t="n"/>
      <c r="L86" s="60" t="n"/>
      <c r="M86" s="59" t="n"/>
    </row>
    <row r="87">
      <c r="A87" s="17">
        <f>ROW()-7</f>
        <v/>
      </c>
      <c r="B87" s="19" t="n"/>
      <c r="C87" s="20" t="n"/>
      <c r="D87" s="16" t="n"/>
      <c r="E87" s="17" t="n"/>
      <c r="F87" s="17" t="n"/>
      <c r="G87" s="17" t="n"/>
      <c r="H87" s="17" t="n"/>
      <c r="I87" s="17" t="n"/>
      <c r="J87" s="18" t="n"/>
      <c r="K87" s="18" t="n"/>
      <c r="L87" s="60" t="n"/>
      <c r="M87" s="59" t="n"/>
    </row>
    <row r="88">
      <c r="A88" s="17">
        <f>ROW()-7</f>
        <v/>
      </c>
      <c r="B88" s="19" t="n"/>
      <c r="C88" s="20" t="n"/>
      <c r="D88" s="16" t="n"/>
      <c r="E88" s="17" t="n"/>
      <c r="F88" s="17" t="n"/>
      <c r="G88" s="17" t="n"/>
      <c r="H88" s="17" t="n"/>
      <c r="I88" s="17" t="n"/>
      <c r="J88" s="18" t="n"/>
      <c r="K88" s="18" t="n"/>
      <c r="L88" s="60" t="n"/>
      <c r="M88" s="59" t="n"/>
    </row>
    <row r="89">
      <c r="A89" s="17">
        <f>ROW()-7</f>
        <v/>
      </c>
      <c r="B89" s="19" t="n"/>
      <c r="C89" s="20" t="n"/>
      <c r="D89" s="16" t="n"/>
      <c r="E89" s="17" t="n"/>
      <c r="F89" s="17" t="n"/>
      <c r="G89" s="17" t="n"/>
      <c r="H89" s="17" t="n"/>
      <c r="I89" s="17" t="n"/>
      <c r="J89" s="18" t="n"/>
      <c r="K89" s="18" t="n"/>
      <c r="L89" s="60" t="n"/>
      <c r="M89" s="59" t="n"/>
    </row>
    <row r="90">
      <c r="A90" s="17">
        <f>ROW()-7</f>
        <v/>
      </c>
      <c r="B90" s="19" t="n"/>
      <c r="C90" s="20" t="n"/>
      <c r="D90" s="16" t="n"/>
      <c r="E90" s="17" t="n"/>
      <c r="F90" s="17" t="n"/>
      <c r="G90" s="17" t="n"/>
      <c r="H90" s="17" t="n"/>
      <c r="I90" s="17" t="n"/>
      <c r="J90" s="18" t="n"/>
      <c r="K90" s="18" t="n"/>
      <c r="L90" s="60" t="n"/>
      <c r="M90" s="59" t="n"/>
    </row>
    <row r="91">
      <c r="A91" s="17" t="n">
        <v>85</v>
      </c>
      <c r="B91" s="19" t="n"/>
      <c r="C91" s="20" t="n"/>
      <c r="D91" s="16" t="n"/>
      <c r="E91" s="17" t="n"/>
      <c r="F91" s="17" t="n"/>
      <c r="G91" s="17" t="n"/>
      <c r="H91" s="17" t="n"/>
      <c r="I91" s="17" t="n"/>
      <c r="J91" s="18" t="n"/>
      <c r="K91" s="18" t="n"/>
      <c r="L91" s="60" t="n"/>
      <c r="M91" s="59" t="n"/>
    </row>
    <row r="92">
      <c r="A92" s="17" t="n"/>
      <c r="B92" s="61" t="n"/>
      <c r="C92" s="20" t="n"/>
      <c r="D92" s="16" t="n"/>
      <c r="E92" s="17" t="n"/>
      <c r="F92" s="17" t="n"/>
      <c r="G92" s="17" t="n"/>
      <c r="H92" s="17" t="n"/>
      <c r="I92" s="17" t="n"/>
      <c r="J92" s="18" t="n"/>
      <c r="K92" s="18" t="n"/>
      <c r="L92" s="60" t="n"/>
      <c r="M92" s="59" t="n"/>
    </row>
    <row r="93">
      <c r="A93" s="17" t="n"/>
      <c r="B93" s="19" t="n"/>
      <c r="C93" s="20" t="n"/>
      <c r="D93" s="16" t="n"/>
      <c r="E93" s="17" t="n"/>
      <c r="F93" s="17" t="n"/>
      <c r="G93" s="17" t="n"/>
      <c r="H93" s="17" t="n"/>
      <c r="I93" s="17" t="n"/>
      <c r="J93" s="18" t="n"/>
      <c r="K93" s="18" t="n"/>
      <c r="L93" s="60" t="n"/>
      <c r="M93" s="59" t="n"/>
    </row>
    <row r="94">
      <c r="A94" s="17" t="n"/>
      <c r="B94" s="19" t="n"/>
      <c r="C94" s="20" t="n"/>
      <c r="D94" s="16" t="n"/>
      <c r="E94" s="17" t="n"/>
      <c r="F94" s="17" t="n"/>
      <c r="G94" s="17" t="n"/>
      <c r="H94" s="17" t="n"/>
      <c r="I94" s="17" t="n"/>
      <c r="J94" s="18" t="n"/>
      <c r="K94" s="18" t="n"/>
      <c r="L94" s="60" t="n"/>
      <c r="M94" s="59" t="n"/>
    </row>
    <row r="95">
      <c r="A95" s="17" t="n"/>
      <c r="B95" s="19" t="n"/>
      <c r="C95" s="20" t="n"/>
      <c r="D95" s="16" t="n"/>
      <c r="E95" s="17" t="n"/>
      <c r="F95" s="17" t="n"/>
      <c r="G95" s="17" t="n"/>
      <c r="H95" s="17" t="n"/>
      <c r="I95" s="17" t="n"/>
      <c r="J95" s="18" t="n"/>
      <c r="K95" s="18" t="n"/>
      <c r="L95" s="60" t="n"/>
      <c r="M95" s="59" t="n"/>
    </row>
    <row r="96">
      <c r="A96" s="17" t="n"/>
      <c r="B96" s="19" t="n"/>
      <c r="C96" s="20" t="n"/>
      <c r="D96" s="16" t="n"/>
      <c r="E96" s="17" t="n"/>
      <c r="F96" s="17" t="n"/>
      <c r="G96" s="17" t="n"/>
      <c r="H96" s="17" t="n"/>
      <c r="I96" s="17" t="n"/>
      <c r="J96" s="18" t="n"/>
      <c r="K96" s="18" t="n"/>
      <c r="L96" s="60" t="n"/>
      <c r="M96" s="59" t="n"/>
    </row>
    <row r="97">
      <c r="A97" s="17" t="n"/>
      <c r="B97" s="19" t="n"/>
      <c r="C97" s="20" t="n"/>
      <c r="D97" s="16" t="n"/>
      <c r="E97" s="17" t="n"/>
      <c r="F97" s="17" t="n"/>
      <c r="G97" s="17" t="n"/>
      <c r="H97" s="17" t="n"/>
      <c r="I97" s="17" t="n"/>
      <c r="J97" s="18" t="n"/>
      <c r="K97" s="18" t="n"/>
      <c r="L97" s="60" t="n"/>
      <c r="M97" s="59" t="n"/>
    </row>
    <row r="98">
      <c r="A98" s="17" t="n"/>
      <c r="B98" s="19" t="n"/>
      <c r="C98" s="20" t="n"/>
      <c r="D98" s="16" t="n"/>
      <c r="E98" s="17" t="n"/>
      <c r="F98" s="17" t="n"/>
      <c r="G98" s="17" t="n"/>
      <c r="H98" s="17" t="n"/>
      <c r="I98" s="17" t="n"/>
      <c r="J98" s="18" t="n"/>
      <c r="K98" s="18" t="n"/>
      <c r="L98" s="60" t="n"/>
      <c r="M98" s="59" t="n"/>
    </row>
    <row r="99">
      <c r="A99" s="17" t="n"/>
      <c r="B99" s="19" t="n"/>
      <c r="C99" s="20" t="n"/>
      <c r="D99" s="16" t="n"/>
      <c r="E99" s="17" t="n"/>
      <c r="F99" s="17" t="n"/>
      <c r="G99" s="17" t="n"/>
      <c r="H99" s="17" t="n"/>
      <c r="I99" s="17" t="n"/>
      <c r="J99" s="18" t="n"/>
      <c r="K99" s="18" t="n"/>
      <c r="L99" s="60" t="n"/>
      <c r="M99" s="59" t="n"/>
    </row>
    <row r="100">
      <c r="A100" s="17" t="n"/>
      <c r="B100" s="19" t="n"/>
      <c r="C100" s="20" t="n"/>
      <c r="D100" s="16" t="n"/>
      <c r="E100" s="17" t="n"/>
      <c r="F100" s="17" t="n"/>
      <c r="G100" s="17" t="n"/>
      <c r="H100" s="17" t="n"/>
      <c r="I100" s="17" t="n"/>
      <c r="J100" s="18" t="n"/>
      <c r="K100" s="18" t="n"/>
      <c r="L100" s="60" t="n"/>
      <c r="M100" s="59" t="n"/>
    </row>
    <row r="101" ht="15.75" customHeight="1" s="94">
      <c r="A101" s="41" t="n"/>
      <c r="B101" s="42" t="inlineStr">
        <is>
          <t xml:space="preserve">                                    Total                                                                                               </t>
        </is>
      </c>
      <c r="C101" s="42" t="n"/>
      <c r="D101" s="43" t="n"/>
      <c r="E101" s="39">
        <f>SUM(Table1[የደረቅ ኪ.ግ Dry kg])</f>
        <v/>
      </c>
      <c r="F101" s="39">
        <f>SUM(Table1[የለጠፍ ኪ.ግ Post it kg])</f>
        <v/>
      </c>
      <c r="G101" s="39">
        <f>SUM(Table1[ሴ.ሜ Cm])</f>
        <v/>
      </c>
      <c r="H101" s="51" t="n"/>
      <c r="I101" s="41">
        <f>SUM(Table1[ለጠቅላላ])</f>
        <v/>
      </c>
      <c r="J101" s="40">
        <f>SUM(Table1[የመኪና ኪራይ Car rental price])</f>
        <v/>
      </c>
      <c r="K101" s="49">
        <f>SUM(Table1[አጠቃላይ ኪራይ General rent])</f>
        <v/>
      </c>
      <c r="L101" s="52">
        <f>SUM(Table1[Column1])</f>
        <v/>
      </c>
      <c r="M101" s="39" t="n"/>
    </row>
    <row r="102">
      <c r="A102" s="68" t="n"/>
      <c r="B102" s="19" t="n"/>
      <c r="C102" s="20" t="n"/>
      <c r="D102" s="16" t="n"/>
      <c r="E102" s="68" t="n"/>
      <c r="F102" s="68" t="n"/>
      <c r="G102" s="68" t="n"/>
      <c r="H102" s="68" t="n"/>
      <c r="I102" s="68" t="n"/>
      <c r="J102" s="62" t="n"/>
      <c r="K102" s="62">
        <f>Table1[[#This Row],[የለጠፍ ኪ.ግ Post it kg]]*Table1[[#This Row],[ለጠቅላላ]]</f>
        <v/>
      </c>
      <c r="L102" s="63" t="n"/>
      <c r="M102" s="64" t="n"/>
    </row>
    <row r="103" ht="21" customHeight="1" s="94">
      <c r="A103" s="68" t="n"/>
      <c r="B103" s="23" t="inlineStr">
        <is>
          <t>አጠቃላይ የመኪና</t>
        </is>
      </c>
      <c r="C103" s="24" t="n"/>
      <c r="D103" s="25">
        <f>Table1[[#Totals],[የመኪና ኪራይ Car rental price]]</f>
        <v/>
      </c>
      <c r="F103" s="69">
        <f>Table1[[#Totals],[የለጠፍ ኪ.ግ Post it kg]]+Table1[[#Totals],[የደረቅ ኪ.ግ Dry kg]]+Table1[[#Totals],[ሴ.ሜ Cm]]</f>
        <v/>
      </c>
      <c r="G103" s="69" t="n"/>
      <c r="H103" s="70" t="n"/>
      <c r="I103" s="70" t="n"/>
      <c r="J103" s="88" t="n"/>
      <c r="K103" s="65" t="n"/>
    </row>
    <row r="104" ht="15.75" customHeight="1" s="94">
      <c r="A104" s="68" t="n"/>
      <c r="B104" s="26" t="inlineStr">
        <is>
          <t>የኮሚሽን</t>
        </is>
      </c>
      <c r="C104" s="26" t="n"/>
      <c r="D104" s="27">
        <f>D103*10%</f>
        <v/>
      </c>
      <c r="F104" s="69" t="n"/>
      <c r="G104" s="69" t="n"/>
      <c r="H104" s="70" t="n"/>
      <c r="I104" s="70" t="n"/>
      <c r="K104" s="65" t="n"/>
    </row>
    <row r="105" ht="15.75" customHeight="1" s="94">
      <c r="A105" s="68" t="n"/>
      <c r="B105" s="26" t="inlineStr">
        <is>
          <t>የደርዳሪ</t>
        </is>
      </c>
      <c r="C105" s="26" t="n"/>
      <c r="D105" s="28" t="n">
        <v>7000</v>
      </c>
      <c r="H105" s="72" t="n"/>
      <c r="I105" s="72" t="n"/>
      <c r="K105" s="65" t="n"/>
    </row>
    <row r="106" ht="15.75" customHeight="1" s="94">
      <c r="A106" s="68" t="n"/>
      <c r="B106" s="26" t="inlineStr">
        <is>
          <t>የተራ አስከባሪ ወጪ (የጥበቃ)</t>
        </is>
      </c>
      <c r="C106" s="26" t="n"/>
      <c r="D106" s="28" t="n">
        <v>1300</v>
      </c>
      <c r="H106" s="72" t="n"/>
      <c r="I106" s="72" t="n"/>
      <c r="K106" s="65" t="n"/>
    </row>
    <row r="107" ht="15.75" customHeight="1" s="94">
      <c r="A107" s="68" t="n"/>
      <c r="B107" s="21" t="inlineStr">
        <is>
          <t>አጠቃላይ ከወጪ ቀሪ</t>
        </is>
      </c>
      <c r="C107" s="29" t="n"/>
      <c r="D107" s="28">
        <f>D103-D104-D105-D106</f>
        <v/>
      </c>
      <c r="E107" s="103" t="n"/>
      <c r="H107" s="72" t="n"/>
      <c r="I107" s="72" t="n"/>
      <c r="K107" s="65" t="n"/>
    </row>
    <row r="108" ht="15.75" customHeight="1" s="94">
      <c r="A108" s="68" t="n"/>
      <c r="E108" s="103" t="n"/>
      <c r="F108" s="103" t="n"/>
      <c r="G108" s="103" t="n"/>
      <c r="H108" s="103" t="n"/>
      <c r="K108" s="65" t="n"/>
    </row>
    <row r="109" ht="15.75" customHeight="1" s="94">
      <c r="A109" s="68" t="n"/>
      <c r="B109" s="77" t="n"/>
      <c r="C109" s="103" t="inlineStr">
        <is>
          <t>የውል ግዴታ</t>
        </is>
      </c>
    </row>
    <row r="110" ht="15.75" customHeight="1" s="94">
      <c r="A110" s="68" t="n"/>
      <c r="B110" s="32" t="n"/>
      <c r="C110" s="32" t="n"/>
      <c r="D110" s="32" t="n"/>
      <c r="E110" s="33" t="n"/>
      <c r="F110" s="33" t="n"/>
      <c r="G110" s="33" t="n"/>
      <c r="H110" s="33" t="n"/>
      <c r="I110" s="32" t="n"/>
      <c r="J110" s="32" t="n"/>
      <c r="K110" s="55" t="n"/>
      <c r="L110" s="32" t="n"/>
      <c r="M110" s="32" t="n"/>
    </row>
    <row r="111" ht="15.75" customHeight="1" s="94">
      <c r="A111" s="68" t="n"/>
      <c r="B111" s="32" t="n"/>
      <c r="C111" s="100" t="inlineStr">
        <is>
          <t>ታርጋው ከላይ የተጠቀሰው የመኪና ባለቤት ፣ ሹፌር ወይም ወኪል የሆንኩ በዝርዝር የተገለጹትን ንብረቶች በሙሉ መካነ ሰላም ሀገር ድረስ በተገለጸው ኪራይ ላደርስ እና ንብረቱን ላስረክባቸው ከዚህ ሰአት ጀምሬ ተረክቤያለው እቃ ቢጠፋ ፣ ቢሰበር ወይም ቢበላሽ ልከፍላቸው ተስማምቼ የጫንኩ መሆኔን በ ፊርማዬ አረጋግጣለው</t>
        </is>
      </c>
    </row>
    <row r="112" ht="15.75" customHeight="1" s="94">
      <c r="A112" s="68" t="n"/>
      <c r="B112" s="32" t="n"/>
    </row>
    <row r="113">
      <c r="A113" s="68" t="n"/>
      <c r="B113" s="74" t="n"/>
    </row>
    <row r="114" ht="15.75" customHeight="1" s="94">
      <c r="A114" s="68" t="n"/>
      <c r="B114" s="74" t="n"/>
      <c r="C114" s="74" t="n"/>
      <c r="D114" s="74" t="n"/>
      <c r="H114" s="72" t="n"/>
      <c r="I114" s="74" t="n"/>
      <c r="J114" s="74" t="n"/>
      <c r="K114" s="75" t="n"/>
    </row>
    <row r="115" ht="15.75" customHeight="1" s="94">
      <c r="A115" s="68" t="n"/>
      <c r="B115" s="76" t="inlineStr">
        <is>
          <t>የውል ተቀባይ</t>
        </is>
      </c>
      <c r="H115" s="72" t="n"/>
      <c r="I115" s="77" t="inlineStr">
        <is>
          <t>የእማኝ ስም እና ፊርማ</t>
        </is>
      </c>
      <c r="K115" s="65" t="n"/>
    </row>
    <row r="116">
      <c r="A116" s="68" t="n"/>
      <c r="B116" t="inlineStr">
        <is>
          <t>Contract receiver</t>
        </is>
      </c>
      <c r="H116" s="72" t="n"/>
      <c r="I116" s="78" t="inlineStr">
        <is>
          <t>Name and signature of the witness</t>
        </is>
      </c>
      <c r="J116" s="79" t="n"/>
      <c r="K116" s="80" t="n"/>
    </row>
    <row r="117" ht="15.75" customHeight="1" s="94">
      <c r="A117" s="68" t="n"/>
      <c r="B117" s="81" t="inlineStr">
        <is>
          <t>ስም:</t>
        </is>
      </c>
      <c r="H117" s="72" t="n"/>
      <c r="I117" s="82" t="inlineStr">
        <is>
          <t>1, ገበየ እሸቱ</t>
        </is>
      </c>
      <c r="J117" s="82" t="n"/>
      <c r="K117" s="80" t="n"/>
    </row>
    <row r="118" ht="15.75" customHeight="1" s="94">
      <c r="A118" s="68" t="n"/>
      <c r="B118" s="83" t="inlineStr">
        <is>
          <t>name:</t>
        </is>
      </c>
      <c r="H118" s="72" t="n"/>
      <c r="I118" s="82" t="inlineStr">
        <is>
          <t>2, ፋይሰል አብደላ</t>
        </is>
      </c>
      <c r="J118" s="82" t="n"/>
      <c r="K118" s="80" t="n"/>
    </row>
    <row r="119" ht="15.75" customHeight="1" s="94">
      <c r="A119" s="68" t="n"/>
      <c r="B119" s="84" t="inlineStr">
        <is>
          <t xml:space="preserve">ስልክ:       </t>
        </is>
      </c>
      <c r="H119" s="72" t="n"/>
      <c r="I119" s="82" t="inlineStr">
        <is>
          <t>3, አለማየሁ ወንደሰን</t>
        </is>
      </c>
      <c r="J119" s="82" t="n"/>
      <c r="K119" s="65" t="n"/>
    </row>
    <row r="120">
      <c r="A120" s="68" t="n"/>
      <c r="B120" s="83" t="inlineStr">
        <is>
          <t>phone:</t>
        </is>
      </c>
      <c r="H120" s="72" t="n"/>
      <c r="I120" s="72" t="n"/>
      <c r="K120" s="65" t="n"/>
    </row>
    <row r="121" ht="15.75" customHeight="1" s="94">
      <c r="A121" s="68" t="n"/>
      <c r="B121" s="81" t="inlineStr">
        <is>
          <t>ፊርማ:</t>
        </is>
      </c>
      <c r="C121" s="85" t="n"/>
      <c r="D121" s="86" t="n"/>
      <c r="E121" s="88" t="n"/>
      <c r="F121" s="88" t="n"/>
      <c r="G121" s="88" t="n"/>
      <c r="H121" s="90" t="n"/>
      <c r="I121" s="90" t="n"/>
      <c r="J121" s="91" t="n"/>
      <c r="K121" s="92" t="n"/>
      <c r="L121" s="93" t="n"/>
    </row>
    <row r="122">
      <c r="A122" s="68" t="n"/>
      <c r="B122" s="83" t="inlineStr">
        <is>
          <t>signature:</t>
        </is>
      </c>
      <c r="C122" s="85" t="n"/>
      <c r="D122" s="86" t="n"/>
      <c r="E122" s="88" t="n"/>
      <c r="F122" s="88" t="n"/>
      <c r="G122" s="88" t="n"/>
      <c r="H122" s="90" t="n"/>
      <c r="I122" s="90" t="n"/>
      <c r="J122" s="91" t="n"/>
      <c r="K122" s="92" t="n"/>
      <c r="L122" s="93" t="n"/>
    </row>
    <row r="123">
      <c r="H123" s="72" t="n"/>
      <c r="I123" s="72" t="n"/>
      <c r="K123" s="65" t="n"/>
    </row>
    <row r="124">
      <c r="H124" s="72" t="n"/>
      <c r="I124" s="72" t="n"/>
      <c r="K124" s="65" t="n"/>
    </row>
    <row r="125">
      <c r="H125" s="72" t="n"/>
      <c r="I125" s="72" t="n"/>
      <c r="K125" s="65" t="n"/>
    </row>
    <row r="126">
      <c r="H126" s="72" t="n"/>
      <c r="I126" s="72" t="n"/>
      <c r="K126" s="65" t="n"/>
    </row>
    <row r="127">
      <c r="H127" s="72" t="n"/>
      <c r="I127" s="72" t="n"/>
      <c r="K127" s="65" t="n"/>
    </row>
    <row r="128">
      <c r="K128" s="65" t="n"/>
    </row>
  </sheetData>
  <mergeCells count="4">
    <mergeCell ref="A5:C5"/>
    <mergeCell ref="C109:M109"/>
    <mergeCell ref="C111:M113"/>
    <mergeCell ref="A6:D6"/>
  </mergeCells>
  <conditionalFormatting sqref="B84:C84 B86:C100 C85">
    <cfRule type="duplicateValues" priority="82" dxfId="27"/>
  </conditionalFormatting>
  <conditionalFormatting sqref="B8:C8">
    <cfRule type="duplicateValues" priority="16" dxfId="27"/>
  </conditionalFormatting>
  <conditionalFormatting sqref="B24:C24">
    <cfRule type="duplicateValues" priority="17" dxfId="27"/>
  </conditionalFormatting>
  <conditionalFormatting sqref="B69:C69">
    <cfRule type="duplicateValues" priority="15" dxfId="27"/>
  </conditionalFormatting>
  <conditionalFormatting sqref="B49:C50">
    <cfRule type="duplicateValues" priority="13" dxfId="27"/>
  </conditionalFormatting>
  <conditionalFormatting sqref="B70:C70">
    <cfRule type="duplicateValues" priority="12" dxfId="27"/>
  </conditionalFormatting>
  <conditionalFormatting sqref="B71:C71">
    <cfRule type="duplicateValues" priority="10" dxfId="27"/>
  </conditionalFormatting>
  <conditionalFormatting sqref="B26:C26">
    <cfRule type="duplicateValues" priority="9" dxfId="27"/>
  </conditionalFormatting>
  <conditionalFormatting sqref="B41:C43">
    <cfRule type="duplicateValues" priority="7" dxfId="27"/>
  </conditionalFormatting>
  <conditionalFormatting sqref="B72:C72">
    <cfRule type="duplicateValues" priority="6" dxfId="27"/>
  </conditionalFormatting>
  <conditionalFormatting sqref="B45:C47">
    <cfRule type="duplicateValues" priority="5" dxfId="27"/>
  </conditionalFormatting>
  <conditionalFormatting sqref="B63:C64">
    <cfRule type="duplicateValues" priority="3" dxfId="27"/>
  </conditionalFormatting>
  <conditionalFormatting sqref="B65:C65">
    <cfRule type="duplicateValues" priority="1" dxfId="27"/>
  </conditionalFormatting>
  <conditionalFormatting sqref="B25:C25">
    <cfRule type="duplicateValues" priority="18" dxfId="27"/>
  </conditionalFormatting>
  <conditionalFormatting sqref="B9:C23">
    <cfRule type="duplicateValues" priority="19" dxfId="27"/>
  </conditionalFormatting>
  <conditionalFormatting sqref="B51:C62">
    <cfRule type="duplicateValues" priority="20" dxfId="27"/>
  </conditionalFormatting>
  <conditionalFormatting sqref="B66:C67">
    <cfRule type="duplicateValues" priority="21" dxfId="27"/>
  </conditionalFormatting>
  <conditionalFormatting sqref="B73:C73">
    <cfRule type="duplicateValues" priority="22" dxfId="27"/>
  </conditionalFormatting>
  <conditionalFormatting sqref="B74:C77 B79:C83 C78">
    <cfRule type="duplicateValues" priority="23" dxfId="27"/>
  </conditionalFormatting>
  <conditionalFormatting sqref="B33:C35 B37:C40 B48:C48 B68:C68">
    <cfRule type="duplicateValues" priority="85" dxfId="27"/>
  </conditionalFormatting>
  <conditionalFormatting sqref="B36:C36 B44:C44">
    <cfRule type="duplicateValues" priority="86" dxfId="27"/>
  </conditionalFormatting>
  <dataValidations count="2">
    <dataValidation sqref="H102:H122" showDropDown="0" showInputMessage="1" showErrorMessage="1" allowBlank="1" type="list">
      <formula1>#REF!</formula1>
    </dataValidation>
    <dataValidation sqref="I102:I116 I120:I122" showDropDown="0" showInputMessage="1" showErrorMessage="1" allowBlank="1" type="list">
      <formula1>#REF!</formula1>
    </dataValidation>
  </dataValidations>
  <pageMargins left="0.36" right="0.12" top="1.02" bottom="0.45" header="0.3" footer="0.2"/>
  <pageSetup orientation="landscape" paperSize="9" horizontalDpi="360" verticalDpi="360"/>
  <headerFooter>
    <oddHeader>&amp;L&amp;G&amp;C&amp;"-,Bold"&amp;18 &amp;K00B050 ሰንሰለት የደረቅ ጭነት አገልግሎት መስጫ የግል ድርጅት_x000a_Senselet dry cargo servicesየመኪና ኪራይ መረከቢያ እና የእቃ ማስረከቢያ ሰነድ_x000a_Car rental inventory and delivery voucher&amp;R&amp;10 አድራሻ፦መርካቶ ምዕራብ ሆቴል_x000a_ ዝቅ ብሎ ሃጂ ቱሬ ህንጻ ጎን_x000a_ ሰንሰለት(ይመኔ)መጋዘን_x000a_0900972959_x000a_0962388542</oddHeader>
    <oddFooter>&amp;CPage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K102"/>
  <sheetViews>
    <sheetView workbookViewId="0">
      <selection activeCell="D12" sqref="D12"/>
    </sheetView>
  </sheetViews>
  <sheetFormatPr baseColWidth="8" defaultColWidth="9" defaultRowHeight="15"/>
  <sheetData>
    <row r="3">
      <c r="A3" s="104" t="inlineStr">
        <is>
          <t>የመኪና</t>
        </is>
      </c>
      <c r="B3" s="104" t="inlineStr">
        <is>
          <t>ጠቅላላ</t>
        </is>
      </c>
    </row>
    <row r="4">
      <c r="A4" t="n">
        <v>17</v>
      </c>
      <c r="B4" t="n">
        <v>27</v>
      </c>
    </row>
    <row r="5">
      <c r="A5" t="n">
        <v>10.5</v>
      </c>
      <c r="B5" t="n">
        <v>13</v>
      </c>
    </row>
    <row r="6">
      <c r="A6" t="n">
        <v>15.3</v>
      </c>
      <c r="B6" t="n">
        <v>17</v>
      </c>
    </row>
    <row r="7">
      <c r="A7" t="n">
        <v>16.5</v>
      </c>
      <c r="B7" t="n">
        <v>19.5</v>
      </c>
    </row>
    <row r="8">
      <c r="A8" t="n">
        <v>24</v>
      </c>
      <c r="B8" t="n">
        <v>28</v>
      </c>
      <c r="H8" s="50" t="n"/>
      <c r="I8" s="50" t="n"/>
      <c r="J8" s="50" t="n"/>
    </row>
    <row r="9">
      <c r="A9" t="n">
        <v>29</v>
      </c>
      <c r="B9" t="n">
        <v>36</v>
      </c>
      <c r="H9" s="50" t="n"/>
      <c r="I9" s="50" t="n"/>
      <c r="J9" s="50" t="n"/>
    </row>
    <row r="10">
      <c r="A10" t="n">
        <v>32</v>
      </c>
      <c r="B10" t="n">
        <v>44</v>
      </c>
      <c r="H10" s="50" t="n"/>
      <c r="I10" s="50" t="n"/>
      <c r="J10" s="50" t="n"/>
    </row>
    <row r="11">
      <c r="A11" t="n">
        <v>27</v>
      </c>
      <c r="B11" t="n">
        <v>34</v>
      </c>
      <c r="H11" s="50" t="n"/>
      <c r="I11" s="50" t="n"/>
      <c r="J11" s="50" t="n"/>
    </row>
    <row r="12">
      <c r="A12" t="n">
        <v>37</v>
      </c>
      <c r="B12" t="n">
        <v>46</v>
      </c>
      <c r="H12" s="50" t="n"/>
      <c r="I12" s="50" t="n"/>
      <c r="J12" s="50" t="n"/>
    </row>
    <row r="13">
      <c r="A13" t="n">
        <v>64</v>
      </c>
      <c r="B13" t="n">
        <v>80</v>
      </c>
      <c r="H13" s="50" t="n"/>
      <c r="I13" s="50" t="n"/>
      <c r="J13" s="50" t="n"/>
    </row>
    <row r="14">
      <c r="A14" t="n">
        <v>24</v>
      </c>
      <c r="B14" t="n">
        <v>35</v>
      </c>
      <c r="H14" s="50" t="n"/>
      <c r="I14" s="50" t="n"/>
      <c r="J14" s="50" t="n"/>
    </row>
    <row r="15">
      <c r="A15" t="n">
        <v>22</v>
      </c>
      <c r="B15" t="n">
        <v>25</v>
      </c>
      <c r="H15" s="50" t="n"/>
      <c r="I15" s="50" t="n"/>
      <c r="J15" s="50" t="n"/>
    </row>
    <row r="16">
      <c r="A16" t="n">
        <v>23</v>
      </c>
      <c r="B16" t="n">
        <v>35</v>
      </c>
      <c r="H16" s="50" t="n"/>
      <c r="I16" s="50" t="n"/>
      <c r="J16" s="50" t="n"/>
    </row>
    <row r="17">
      <c r="A17" t="n">
        <v>28</v>
      </c>
      <c r="B17" t="n">
        <v>48</v>
      </c>
      <c r="H17" s="50" t="n"/>
      <c r="I17" s="50" t="n"/>
      <c r="J17" s="50" t="n"/>
    </row>
    <row r="18">
      <c r="A18" t="n">
        <v>38.5</v>
      </c>
      <c r="H18" s="50" t="n"/>
      <c r="I18" s="50" t="n"/>
      <c r="J18" s="50" t="n"/>
    </row>
    <row r="19">
      <c r="H19" s="50" t="n"/>
      <c r="I19" s="50" t="n"/>
      <c r="J19" s="50" t="n"/>
    </row>
    <row r="20">
      <c r="H20" s="50" t="n"/>
      <c r="I20" s="50" t="n"/>
      <c r="J20" s="50" t="n"/>
    </row>
    <row r="21">
      <c r="H21" s="50" t="n"/>
      <c r="I21" s="50" t="n"/>
      <c r="J21" s="50" t="n"/>
    </row>
    <row r="22">
      <c r="H22" s="50" t="n"/>
      <c r="I22" s="50" t="n"/>
      <c r="J22" s="50" t="n"/>
    </row>
    <row r="23">
      <c r="H23" s="50" t="n"/>
      <c r="I23" s="50" t="n"/>
      <c r="J23" s="50" t="n"/>
    </row>
    <row r="24">
      <c r="H24" s="50" t="n"/>
      <c r="I24" s="50" t="n"/>
      <c r="J24" s="50" t="n"/>
    </row>
    <row r="25">
      <c r="H25" s="50" t="n"/>
      <c r="I25" s="50" t="n"/>
      <c r="J25" s="50" t="n"/>
    </row>
    <row r="26">
      <c r="H26" s="50" t="n"/>
      <c r="I26" s="50" t="n"/>
      <c r="J26" s="50" t="n"/>
    </row>
    <row r="27">
      <c r="H27" s="50" t="n"/>
      <c r="I27" s="50" t="n"/>
      <c r="J27" s="50" t="n"/>
    </row>
    <row r="28">
      <c r="H28" s="50" t="n"/>
      <c r="I28" s="50" t="n"/>
      <c r="J28" s="50" t="n"/>
    </row>
    <row r="29">
      <c r="H29" s="50" t="n"/>
      <c r="I29" s="50" t="n"/>
      <c r="J29" s="50" t="n"/>
    </row>
    <row r="30">
      <c r="H30" s="50" t="n"/>
      <c r="I30" s="50" t="n"/>
      <c r="J30" s="50" t="n"/>
    </row>
    <row r="31">
      <c r="H31" s="50" t="n"/>
      <c r="I31" s="50" t="n"/>
      <c r="J31" s="50" t="n"/>
    </row>
    <row r="32">
      <c r="H32" s="50" t="n"/>
      <c r="I32" s="50" t="n"/>
      <c r="J32" s="50" t="n"/>
    </row>
    <row r="33">
      <c r="H33" s="50" t="n"/>
      <c r="I33" s="50" t="n"/>
      <c r="J33" s="50" t="n"/>
    </row>
    <row r="34">
      <c r="H34" s="50" t="n"/>
      <c r="I34" s="50" t="n"/>
      <c r="J34" s="50" t="n"/>
    </row>
    <row r="35">
      <c r="H35" s="50" t="n"/>
      <c r="I35" s="50" t="n"/>
      <c r="J35" s="50" t="n"/>
    </row>
    <row r="36">
      <c r="H36" s="50" t="n"/>
      <c r="I36" s="50" t="n"/>
      <c r="J36" s="50" t="n"/>
    </row>
    <row r="37">
      <c r="H37" s="50" t="n"/>
      <c r="I37" s="50" t="n"/>
      <c r="J37" s="50" t="n"/>
    </row>
    <row r="38">
      <c r="H38" s="50" t="n"/>
      <c r="I38" s="50" t="n"/>
      <c r="J38" s="50" t="n"/>
    </row>
    <row r="39">
      <c r="H39" s="50" t="n"/>
      <c r="I39" s="50" t="n"/>
      <c r="J39" s="50" t="n"/>
    </row>
    <row r="40">
      <c r="H40" s="50" t="n"/>
      <c r="I40" s="50" t="n"/>
      <c r="J40" s="50" t="n"/>
    </row>
    <row r="41">
      <c r="H41" s="50" t="n"/>
      <c r="I41" s="50" t="n"/>
      <c r="J41" s="50" t="n"/>
    </row>
    <row r="42">
      <c r="H42" s="50" t="n"/>
      <c r="I42" s="50" t="n"/>
      <c r="J42" s="50" t="n"/>
    </row>
    <row r="43">
      <c r="H43" s="50" t="n"/>
      <c r="I43" s="50" t="n"/>
      <c r="J43" s="50" t="n"/>
    </row>
    <row r="44">
      <c r="H44" s="50" t="n"/>
      <c r="I44" s="50" t="n"/>
      <c r="J44" s="50" t="n"/>
    </row>
    <row r="45">
      <c r="H45" s="50" t="n"/>
      <c r="I45" s="50" t="n"/>
      <c r="J45" s="50" t="n"/>
    </row>
    <row r="46">
      <c r="H46" s="50" t="n"/>
      <c r="I46" s="50" t="n"/>
      <c r="J46" s="50" t="n"/>
    </row>
    <row r="47">
      <c r="H47" s="50" t="n"/>
      <c r="I47" s="50" t="n"/>
      <c r="J47" s="50" t="n"/>
    </row>
    <row r="48">
      <c r="H48" s="50" t="n"/>
      <c r="I48" s="50" t="n"/>
      <c r="J48" s="50" t="n"/>
    </row>
    <row r="49">
      <c r="H49" s="50" t="n"/>
      <c r="I49" s="50" t="n"/>
      <c r="J49" s="50" t="n"/>
    </row>
    <row r="50">
      <c r="H50" s="50" t="n"/>
      <c r="I50" s="50" t="n"/>
      <c r="J50" s="50" t="n"/>
    </row>
    <row r="51">
      <c r="H51" s="50" t="n"/>
      <c r="I51" s="50" t="n"/>
      <c r="J51" s="50" t="n"/>
    </row>
    <row r="52">
      <c r="H52" s="50" t="n"/>
      <c r="I52" s="50" t="n"/>
      <c r="J52" s="50" t="n"/>
    </row>
    <row r="53">
      <c r="H53" s="50" t="n"/>
      <c r="I53" s="50" t="n"/>
      <c r="J53" s="50" t="n"/>
    </row>
    <row r="54">
      <c r="H54" s="50" t="n"/>
      <c r="I54" s="50" t="n"/>
      <c r="J54" s="50" t="n"/>
    </row>
    <row r="55">
      <c r="H55" s="50" t="n"/>
      <c r="I55" s="50" t="n"/>
      <c r="J55" s="50" t="n"/>
    </row>
    <row r="56">
      <c r="H56" s="50" t="n"/>
      <c r="I56" s="50" t="n"/>
      <c r="J56" s="50" t="n"/>
    </row>
    <row r="57">
      <c r="H57" s="50" t="n"/>
      <c r="I57" s="50" t="n"/>
      <c r="J57" s="50" t="n"/>
    </row>
    <row r="58">
      <c r="H58" s="50" t="n"/>
      <c r="I58" s="50" t="n"/>
      <c r="J58" s="50" t="n"/>
    </row>
    <row r="59">
      <c r="H59" s="50" t="n"/>
      <c r="I59" s="50" t="n"/>
      <c r="J59" s="50" t="n"/>
    </row>
    <row r="60">
      <c r="H60" s="50" t="n"/>
      <c r="I60" s="50" t="n"/>
      <c r="J60" s="50" t="n"/>
    </row>
    <row r="61">
      <c r="H61" s="50" t="n"/>
      <c r="I61" s="50" t="n"/>
      <c r="J61" s="50" t="n"/>
    </row>
    <row r="62">
      <c r="H62" s="50" t="n"/>
      <c r="I62" s="50" t="n"/>
      <c r="J62" s="50" t="n"/>
    </row>
    <row r="63">
      <c r="H63" s="50" t="n"/>
      <c r="I63" s="50" t="n"/>
      <c r="J63" s="50" t="n"/>
    </row>
    <row r="64">
      <c r="H64" s="50" t="n"/>
      <c r="I64" s="50" t="n"/>
      <c r="J64" s="50" t="n"/>
    </row>
    <row r="65">
      <c r="H65" s="50" t="n"/>
      <c r="I65" s="50" t="n"/>
      <c r="J65" s="50" t="n"/>
    </row>
    <row r="66">
      <c r="H66" s="50" t="n"/>
      <c r="I66" s="50" t="n"/>
      <c r="J66" s="50" t="n"/>
    </row>
    <row r="67">
      <c r="H67" s="50" t="n"/>
      <c r="I67" s="50" t="n"/>
      <c r="J67" s="50" t="n"/>
    </row>
    <row r="68">
      <c r="H68" s="50" t="n"/>
      <c r="I68" s="50" t="n"/>
      <c r="J68" s="50" t="n"/>
    </row>
    <row r="69">
      <c r="H69" s="50" t="n"/>
      <c r="I69" s="50" t="n"/>
      <c r="J69" s="50" t="n"/>
    </row>
    <row r="70">
      <c r="H70" s="50" t="n"/>
      <c r="I70" s="50" t="n"/>
      <c r="J70" s="50" t="n"/>
    </row>
    <row r="71">
      <c r="H71" s="50" t="n"/>
      <c r="I71" s="50" t="n"/>
      <c r="J71" s="50" t="n"/>
    </row>
    <row r="72">
      <c r="H72" s="50" t="n"/>
      <c r="I72" s="50" t="n"/>
      <c r="J72" s="50" t="n"/>
    </row>
    <row r="73">
      <c r="H73" s="50" t="n"/>
      <c r="I73" s="50" t="n"/>
      <c r="J73" s="50" t="n"/>
    </row>
    <row r="74">
      <c r="H74" s="50" t="n"/>
      <c r="I74" s="50" t="n"/>
      <c r="J74" s="50" t="n"/>
    </row>
    <row r="75">
      <c r="H75" s="50" t="n"/>
      <c r="I75" s="50" t="n"/>
      <c r="J75" s="50" t="n"/>
    </row>
    <row r="76">
      <c r="H76" s="50" t="n"/>
      <c r="I76" s="50" t="n"/>
      <c r="J76" s="50" t="n"/>
    </row>
    <row r="77">
      <c r="H77" s="50" t="n"/>
      <c r="I77" s="50" t="n"/>
      <c r="J77" s="50" t="n"/>
    </row>
    <row r="78">
      <c r="H78" s="50" t="n"/>
      <c r="I78" s="50" t="n"/>
      <c r="J78" s="50" t="n"/>
    </row>
    <row r="79">
      <c r="H79" s="50" t="n"/>
      <c r="I79" s="50" t="n"/>
      <c r="J79" s="50" t="n"/>
    </row>
    <row r="80">
      <c r="H80" s="50" t="n"/>
      <c r="I80" s="50" t="n"/>
      <c r="J80" s="50" t="n"/>
    </row>
    <row r="81">
      <c r="H81" s="50" t="n"/>
      <c r="I81" s="50" t="n"/>
      <c r="J81" s="50" t="n"/>
    </row>
    <row r="82">
      <c r="H82" s="50" t="n"/>
      <c r="I82" s="50" t="n"/>
      <c r="J82" s="50" t="n"/>
    </row>
    <row r="83">
      <c r="H83" s="50" t="n"/>
      <c r="I83" s="50" t="n"/>
      <c r="J83" s="50" t="n"/>
    </row>
    <row r="84">
      <c r="H84" s="50" t="n"/>
      <c r="I84" s="50" t="n"/>
      <c r="J84" s="50" t="n"/>
    </row>
    <row r="85">
      <c r="H85" s="50" t="n"/>
      <c r="I85" s="50" t="n"/>
      <c r="J85" s="50" t="n"/>
    </row>
    <row r="86">
      <c r="H86" s="50" t="n"/>
      <c r="I86" s="50" t="n"/>
      <c r="J86" s="50" t="n"/>
    </row>
    <row r="87">
      <c r="H87" s="50" t="n"/>
      <c r="I87" s="50" t="n"/>
      <c r="J87" s="50" t="n"/>
    </row>
    <row r="88">
      <c r="H88" s="50" t="n"/>
      <c r="I88" s="50" t="n"/>
      <c r="J88" s="50" t="n"/>
    </row>
    <row r="89">
      <c r="H89" s="50" t="n"/>
      <c r="I89" s="50" t="n"/>
      <c r="J89" s="50" t="n"/>
    </row>
    <row r="90">
      <c r="H90" s="50" t="n"/>
      <c r="I90" s="50" t="n"/>
      <c r="J90" s="50" t="n"/>
    </row>
    <row r="91">
      <c r="H91" s="50" t="n"/>
      <c r="I91" s="50" t="n"/>
      <c r="J91" s="50" t="n"/>
    </row>
    <row r="92">
      <c r="H92" s="50" t="n"/>
      <c r="I92" s="50" t="n"/>
      <c r="J92" s="50" t="n"/>
    </row>
    <row r="93">
      <c r="H93" s="50" t="n"/>
      <c r="I93" s="50" t="n"/>
      <c r="J93" s="50" t="n"/>
    </row>
    <row r="94">
      <c r="H94" s="50" t="n"/>
      <c r="I94" s="50" t="n"/>
      <c r="J94" s="50" t="n"/>
    </row>
    <row r="95">
      <c r="H95" s="50" t="n"/>
      <c r="I95" s="50" t="n"/>
      <c r="J95" s="50" t="n"/>
    </row>
    <row r="96">
      <c r="H96" s="50" t="n"/>
      <c r="I96" s="50" t="n"/>
      <c r="J96" s="50" t="n"/>
    </row>
    <row r="97">
      <c r="H97" s="50" t="n"/>
      <c r="I97" s="50" t="n"/>
      <c r="J97" s="50" t="n"/>
    </row>
    <row r="98">
      <c r="H98" s="50" t="n"/>
      <c r="I98" s="50" t="n"/>
      <c r="J98" s="50" t="n"/>
    </row>
    <row r="99">
      <c r="H99" s="50" t="n"/>
      <c r="I99" s="50" t="n"/>
      <c r="J99" s="50" t="n"/>
    </row>
    <row r="100">
      <c r="H100" s="50" t="n"/>
      <c r="I100" s="50" t="n"/>
      <c r="J100" s="50" t="n"/>
    </row>
    <row r="101">
      <c r="H101" s="50" t="n"/>
      <c r="I101" s="50" t="n"/>
      <c r="J101" s="50" t="n"/>
    </row>
    <row r="102">
      <c r="K102" s="50" t="n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yimene</dc:creator>
  <dcterms:created xsi:type="dcterms:W3CDTF">2022-07-07T13:17:00Z</dcterms:created>
  <dcterms:modified xsi:type="dcterms:W3CDTF">2026-07-02T22:47:30Z</dcterms:modified>
  <cp:lastModifiedBy>Senselet</cp:lastModifiedBy>
  <cp:lastPrinted>2025-07-10T04:13:42Z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E18B54DCB07248958157BB14512A36FB_12</vt:lpwstr>
  </property>
  <property name="KSOProductBuildVer" fmtid="{D5CDD505-2E9C-101B-9397-08002B2CF9AE}" pid="3">
    <vt:lpwstr>1033-12.2.0.18283</vt:lpwstr>
  </property>
</Properties>
</file>